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IMAC CENTRO\PROVEEDORES SERVICIOS MÉDICOS ESMERALDA SRL\"/>
    </mc:Choice>
  </mc:AlternateContent>
  <bookViews>
    <workbookView xWindow="0" yWindow="0" windowWidth="23040" windowHeight="9072" firstSheet="1" activeTab="2"/>
  </bookViews>
  <sheets>
    <sheet name="Hoja1" sheetId="10" state="hidden" r:id="rId1"/>
    <sheet name="RESUMEN COMPRAS" sheetId="2" r:id="rId2"/>
    <sheet name="HOJA LLAVE" sheetId="1" r:id="rId3"/>
    <sheet name="Cta. Cte. Mafra SAS" sheetId="6" r:id="rId4"/>
    <sheet name="Periodo Octubre 2024" sheetId="4" r:id="rId5"/>
  </sheets>
  <definedNames>
    <definedName name="_xlnm._FilterDatabase" localSheetId="3" hidden="1">'Cta. Cte. Mafra SAS'!$A$2:$P$7</definedName>
    <definedName name="_xlnm._FilterDatabase" localSheetId="2" hidden="1">'HOJA LLAVE'!$A$4:$AL$92</definedName>
  </definedNames>
  <calcPr calcId="162913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45" i="1" l="1"/>
  <c r="V545" i="1" l="1"/>
  <c r="W545" i="1" s="1"/>
  <c r="U545" i="1"/>
  <c r="V544" i="1" l="1"/>
  <c r="W544" i="1" s="1"/>
  <c r="AB544" i="1" s="1"/>
  <c r="S543" i="1" l="1"/>
  <c r="M543" i="1"/>
  <c r="V543" i="1" l="1"/>
  <c r="W543" i="1" s="1"/>
  <c r="U543" i="1"/>
  <c r="M194" i="1" l="1"/>
  <c r="U542" i="1" l="1"/>
  <c r="M541" i="1"/>
  <c r="U541" i="1" s="1"/>
  <c r="V542" i="1" l="1"/>
  <c r="W542" i="1" s="1"/>
  <c r="V541" i="1"/>
  <c r="W541" i="1" s="1"/>
  <c r="M540" i="1"/>
  <c r="U540" i="1" s="1"/>
  <c r="V540" i="1" l="1"/>
  <c r="W540" i="1" s="1"/>
  <c r="AB540" i="1" s="1"/>
  <c r="M539" i="1"/>
  <c r="U539" i="1" s="1"/>
  <c r="U538" i="1"/>
  <c r="V538" i="1"/>
  <c r="W538" i="1" s="1"/>
  <c r="V539" i="1" l="1"/>
  <c r="W539" i="1" s="1"/>
  <c r="V537" i="1"/>
  <c r="W537" i="1" s="1"/>
  <c r="U537" i="1"/>
  <c r="V536" i="1" l="1"/>
  <c r="W536" i="1" s="1"/>
  <c r="U536" i="1"/>
  <c r="V442" i="1"/>
  <c r="M535" i="1" l="1"/>
  <c r="U535" i="1" s="1"/>
  <c r="V535" i="1" l="1"/>
  <c r="W535" i="1" s="1"/>
  <c r="M534" i="1"/>
  <c r="V534" i="1" s="1"/>
  <c r="W534" i="1" s="1"/>
  <c r="AB534" i="1" s="1"/>
  <c r="U534" i="1" l="1"/>
  <c r="M533" i="1"/>
  <c r="V533" i="1" s="1"/>
  <c r="W533" i="1" s="1"/>
  <c r="V532" i="1"/>
  <c r="W532" i="1" s="1"/>
  <c r="AB532" i="1" s="1"/>
  <c r="U532" i="1"/>
  <c r="M531" i="1"/>
  <c r="V531" i="1" s="1"/>
  <c r="W531" i="1" s="1"/>
  <c r="AB531" i="1" s="1"/>
  <c r="M530" i="1"/>
  <c r="V530" i="1" s="1"/>
  <c r="W530" i="1" s="1"/>
  <c r="U533" i="1" l="1"/>
  <c r="U531" i="1"/>
  <c r="U530" i="1"/>
  <c r="R529" i="1" l="1"/>
  <c r="M529" i="1"/>
  <c r="V528" i="1"/>
  <c r="W528" i="1" s="1"/>
  <c r="AB528" i="1" s="1"/>
  <c r="U528" i="1"/>
  <c r="M527" i="1"/>
  <c r="V527" i="1" s="1"/>
  <c r="W527" i="1" s="1"/>
  <c r="AH527" i="1" s="1"/>
  <c r="V526" i="1"/>
  <c r="W526" i="1" s="1"/>
  <c r="U526" i="1"/>
  <c r="M525" i="1"/>
  <c r="V525" i="1" s="1"/>
  <c r="W525" i="1" s="1"/>
  <c r="M524" i="1"/>
  <c r="V524" i="1" s="1"/>
  <c r="W524" i="1" s="1"/>
  <c r="M523" i="1"/>
  <c r="V523" i="1" s="1"/>
  <c r="W523" i="1" s="1"/>
  <c r="V529" i="1" l="1"/>
  <c r="W529" i="1" s="1"/>
  <c r="U529" i="1"/>
  <c r="U527" i="1"/>
  <c r="U525" i="1"/>
  <c r="U524" i="1"/>
  <c r="U523" i="1"/>
  <c r="M522" i="1"/>
  <c r="U522" i="1" s="1"/>
  <c r="N521" i="1"/>
  <c r="U521" i="1" s="1"/>
  <c r="X520" i="1"/>
  <c r="M520" i="1"/>
  <c r="V520" i="1" s="1"/>
  <c r="W520" i="1" s="1"/>
  <c r="S519" i="1"/>
  <c r="M519" i="1"/>
  <c r="U519" i="1" s="1"/>
  <c r="S518" i="1"/>
  <c r="M518" i="1"/>
  <c r="V517" i="1"/>
  <c r="W517" i="1" s="1"/>
  <c r="U517" i="1"/>
  <c r="V516" i="1"/>
  <c r="W516" i="1" s="1"/>
  <c r="U516" i="1"/>
  <c r="V515" i="1"/>
  <c r="W515" i="1" s="1"/>
  <c r="U515" i="1"/>
  <c r="V514" i="1"/>
  <c r="W514" i="1" s="1"/>
  <c r="U514" i="1"/>
  <c r="V513" i="1"/>
  <c r="W513" i="1" s="1"/>
  <c r="U513" i="1"/>
  <c r="V512" i="1"/>
  <c r="W512" i="1" s="1"/>
  <c r="U512" i="1"/>
  <c r="V511" i="1"/>
  <c r="W511" i="1" s="1"/>
  <c r="U511" i="1"/>
  <c r="U510" i="1"/>
  <c r="V510" i="1"/>
  <c r="W510" i="1" s="1"/>
  <c r="V522" i="1" l="1"/>
  <c r="W522" i="1" s="1"/>
  <c r="V521" i="1"/>
  <c r="W521" i="1" s="1"/>
  <c r="V518" i="1"/>
  <c r="W518" i="1" s="1"/>
  <c r="U520" i="1"/>
  <c r="V519" i="1"/>
  <c r="W519" i="1" s="1"/>
  <c r="U518" i="1"/>
  <c r="X389" i="1" l="1"/>
  <c r="M444" i="1" l="1"/>
  <c r="V444" i="1" s="1"/>
  <c r="W444" i="1" s="1"/>
  <c r="V509" i="1"/>
  <c r="W509" i="1" s="1"/>
  <c r="U509" i="1"/>
  <c r="V508" i="1"/>
  <c r="W508" i="1" s="1"/>
  <c r="U444" i="1" l="1"/>
  <c r="U508" i="1" l="1"/>
  <c r="V507" i="1"/>
  <c r="W507" i="1" s="1"/>
  <c r="U507" i="1"/>
  <c r="V506" i="1"/>
  <c r="W506" i="1" s="1"/>
  <c r="AB506" i="1" s="1"/>
  <c r="U506" i="1"/>
  <c r="V478" i="1"/>
  <c r="W478" i="1" s="1"/>
  <c r="AB478" i="1" s="1"/>
  <c r="V505" i="1"/>
  <c r="U478" i="1"/>
  <c r="U505" i="1"/>
  <c r="W505" i="1" l="1"/>
  <c r="AB505" i="1" s="1"/>
  <c r="S504" i="1"/>
  <c r="M504" i="1"/>
  <c r="U504" i="1" s="1"/>
  <c r="V503" i="1"/>
  <c r="W503" i="1" s="1"/>
  <c r="U503" i="1"/>
  <c r="V502" i="1"/>
  <c r="W502" i="1" s="1"/>
  <c r="AB502" i="1" s="1"/>
  <c r="U502" i="1"/>
  <c r="V465" i="1"/>
  <c r="W465" i="1" s="1"/>
  <c r="AB465" i="1" s="1"/>
  <c r="U465" i="1"/>
  <c r="V501" i="1"/>
  <c r="W501" i="1" s="1"/>
  <c r="AB501" i="1" s="1"/>
  <c r="V500" i="1"/>
  <c r="W500" i="1" s="1"/>
  <c r="AB500" i="1" s="1"/>
  <c r="U501" i="1"/>
  <c r="U500" i="1"/>
  <c r="V499" i="1"/>
  <c r="W499" i="1" s="1"/>
  <c r="AB499" i="1" s="1"/>
  <c r="U499" i="1"/>
  <c r="V498" i="1"/>
  <c r="W498" i="1" s="1"/>
  <c r="AB498" i="1" s="1"/>
  <c r="U498" i="1"/>
  <c r="V325" i="1"/>
  <c r="V326" i="1"/>
  <c r="V328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5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W372" i="1" s="1"/>
  <c r="V374" i="1"/>
  <c r="V375" i="1"/>
  <c r="W375" i="1" s="1"/>
  <c r="V376" i="1"/>
  <c r="V381" i="1"/>
  <c r="V382" i="1"/>
  <c r="V383" i="1"/>
  <c r="V385" i="1"/>
  <c r="V386" i="1"/>
  <c r="V387" i="1"/>
  <c r="V391" i="1"/>
  <c r="V392" i="1"/>
  <c r="V398" i="1"/>
  <c r="V399" i="1"/>
  <c r="V400" i="1"/>
  <c r="V402" i="1"/>
  <c r="V403" i="1"/>
  <c r="V404" i="1"/>
  <c r="V410" i="1"/>
  <c r="V412" i="1"/>
  <c r="V414" i="1"/>
  <c r="V419" i="1"/>
  <c r="V420" i="1"/>
  <c r="V421" i="1"/>
  <c r="V425" i="1"/>
  <c r="V428" i="1"/>
  <c r="V429" i="1"/>
  <c r="V436" i="1"/>
  <c r="V441" i="1"/>
  <c r="V446" i="1"/>
  <c r="V450" i="1"/>
  <c r="V456" i="1"/>
  <c r="V459" i="1"/>
  <c r="V462" i="1"/>
  <c r="V463" i="1"/>
  <c r="V469" i="1"/>
  <c r="V470" i="1"/>
  <c r="V471" i="1"/>
  <c r="V479" i="1"/>
  <c r="V480" i="1"/>
  <c r="V481" i="1"/>
  <c r="V472" i="1"/>
  <c r="V473" i="1"/>
  <c r="V474" i="1"/>
  <c r="V475" i="1"/>
  <c r="V476" i="1"/>
  <c r="V460" i="1"/>
  <c r="V461" i="1"/>
  <c r="V452" i="1"/>
  <c r="V453" i="1"/>
  <c r="V477" i="1"/>
  <c r="V454" i="1"/>
  <c r="V489" i="1"/>
  <c r="V490" i="1"/>
  <c r="V482" i="1"/>
  <c r="V483" i="1"/>
  <c r="V484" i="1"/>
  <c r="V485" i="1"/>
  <c r="V486" i="1"/>
  <c r="V491" i="1"/>
  <c r="V493" i="1"/>
  <c r="V494" i="1"/>
  <c r="V487" i="1"/>
  <c r="V488" i="1"/>
  <c r="V495" i="1"/>
  <c r="V496" i="1"/>
  <c r="W496" i="1" s="1"/>
  <c r="AB496" i="1" s="1"/>
  <c r="V497" i="1"/>
  <c r="W497" i="1" s="1"/>
  <c r="AB497" i="1" s="1"/>
  <c r="U497" i="1"/>
  <c r="U496" i="1"/>
  <c r="V504" i="1" l="1"/>
  <c r="W504" i="1" s="1"/>
  <c r="W495" i="1"/>
  <c r="AB495" i="1" s="1"/>
  <c r="U495" i="1"/>
  <c r="W488" i="1" l="1"/>
  <c r="AB488" i="1" s="1"/>
  <c r="U488" i="1"/>
  <c r="W487" i="1"/>
  <c r="AB487" i="1" s="1"/>
  <c r="U487" i="1"/>
  <c r="W494" i="1"/>
  <c r="AB494" i="1" s="1"/>
  <c r="U494" i="1"/>
  <c r="W493" i="1"/>
  <c r="AB493" i="1" s="1"/>
  <c r="U493" i="1"/>
  <c r="W491" i="1"/>
  <c r="AB491" i="1" s="1"/>
  <c r="U491" i="1"/>
  <c r="W486" i="1"/>
  <c r="AB486" i="1" s="1"/>
  <c r="U486" i="1"/>
  <c r="W485" i="1"/>
  <c r="AB485" i="1" s="1"/>
  <c r="U485" i="1"/>
  <c r="W484" i="1"/>
  <c r="AB484" i="1" s="1"/>
  <c r="U484" i="1"/>
  <c r="W483" i="1"/>
  <c r="AB483" i="1" s="1"/>
  <c r="U483" i="1"/>
  <c r="W482" i="1"/>
  <c r="AB482" i="1" s="1"/>
  <c r="U482" i="1"/>
  <c r="M492" i="1"/>
  <c r="V492" i="1" l="1"/>
  <c r="W492" i="1" s="1"/>
  <c r="AB492" i="1" s="1"/>
  <c r="U492" i="1"/>
  <c r="W490" i="1" l="1"/>
  <c r="AB490" i="1" s="1"/>
  <c r="W489" i="1"/>
  <c r="AB489" i="1" s="1"/>
  <c r="U490" i="1"/>
  <c r="U489" i="1"/>
  <c r="W454" i="1" l="1"/>
  <c r="AB454" i="1" s="1"/>
  <c r="U454" i="1"/>
  <c r="W477" i="1"/>
  <c r="AB477" i="1" s="1"/>
  <c r="U477" i="1"/>
  <c r="W453" i="1"/>
  <c r="AB453" i="1" s="1"/>
  <c r="W452" i="1"/>
  <c r="AB452" i="1" s="1"/>
  <c r="U453" i="1"/>
  <c r="U452" i="1"/>
  <c r="W461" i="1"/>
  <c r="AB461" i="1" s="1"/>
  <c r="U461" i="1"/>
  <c r="W460" i="1"/>
  <c r="AB460" i="1" s="1"/>
  <c r="U460" i="1"/>
  <c r="W476" i="1"/>
  <c r="AB476" i="1" s="1"/>
  <c r="U476" i="1"/>
  <c r="W475" i="1"/>
  <c r="AB475" i="1" s="1"/>
  <c r="U475" i="1"/>
  <c r="W474" i="1"/>
  <c r="AB474" i="1" s="1"/>
  <c r="U474" i="1"/>
  <c r="W473" i="1"/>
  <c r="AB473" i="1" s="1"/>
  <c r="U473" i="1"/>
  <c r="W472" i="1"/>
  <c r="AB472" i="1" s="1"/>
  <c r="U472" i="1"/>
  <c r="W481" i="1"/>
  <c r="AB481" i="1" s="1"/>
  <c r="U481" i="1"/>
  <c r="W480" i="1"/>
  <c r="AB480" i="1" s="1"/>
  <c r="U480" i="1"/>
  <c r="W479" i="1"/>
  <c r="AB479" i="1" s="1"/>
  <c r="U479" i="1"/>
  <c r="M430" i="1" l="1"/>
  <c r="V430" i="1" s="1"/>
  <c r="W430" i="1" l="1"/>
  <c r="U430" i="1"/>
  <c r="T251" i="1"/>
  <c r="T18" i="1"/>
  <c r="S18" i="1"/>
  <c r="M18" i="1"/>
  <c r="S251" i="1"/>
  <c r="M251" i="1"/>
  <c r="V18" i="1" l="1"/>
  <c r="W18" i="1" s="1"/>
  <c r="AB18" i="1" s="1"/>
  <c r="V251" i="1"/>
  <c r="W251" i="1" s="1"/>
  <c r="U251" i="1"/>
  <c r="U18" i="1"/>
  <c r="W471" i="1" l="1"/>
  <c r="U471" i="1"/>
  <c r="M443" i="1" l="1"/>
  <c r="V443" i="1" s="1"/>
  <c r="W470" i="1"/>
  <c r="U470" i="1"/>
  <c r="W443" i="1" l="1"/>
  <c r="U443" i="1"/>
  <c r="W469" i="1"/>
  <c r="AH469" i="1" s="1"/>
  <c r="U469" i="1"/>
  <c r="M468" i="1"/>
  <c r="V468" i="1" s="1"/>
  <c r="M440" i="1"/>
  <c r="V440" i="1" s="1"/>
  <c r="P3" i="6"/>
  <c r="P4" i="6" s="1"/>
  <c r="P5" i="6" s="1"/>
  <c r="P6" i="6" s="1"/>
  <c r="P7" i="6" s="1"/>
  <c r="P8" i="6" s="1"/>
  <c r="X236" i="1"/>
  <c r="W440" i="1" l="1"/>
  <c r="W468" i="1"/>
  <c r="AH468" i="1" s="1"/>
  <c r="U440" i="1"/>
  <c r="U468" i="1"/>
  <c r="X388" i="1"/>
  <c r="X224" i="1" l="1"/>
  <c r="X225" i="1"/>
  <c r="X226" i="1"/>
  <c r="X227" i="1"/>
  <c r="X223" i="1"/>
  <c r="X220" i="1"/>
  <c r="X219" i="1"/>
  <c r="X221" i="1"/>
  <c r="X56" i="1"/>
  <c r="W459" i="1" l="1"/>
  <c r="AH459" i="1" s="1"/>
  <c r="U459" i="1"/>
  <c r="S467" i="1"/>
  <c r="M467" i="1"/>
  <c r="V467" i="1" l="1"/>
  <c r="W467" i="1" s="1"/>
  <c r="U467" i="1"/>
  <c r="M466" i="1"/>
  <c r="V466" i="1" s="1"/>
  <c r="L464" i="1"/>
  <c r="T464" i="1"/>
  <c r="O464" i="1"/>
  <c r="U464" i="1" s="1"/>
  <c r="W446" i="1"/>
  <c r="AH446" i="1" s="1"/>
  <c r="U446" i="1"/>
  <c r="V222" i="1"/>
  <c r="V228" i="1"/>
  <c r="V229" i="1"/>
  <c r="V230" i="1"/>
  <c r="V235" i="1"/>
  <c r="V237" i="1"/>
  <c r="V242" i="1"/>
  <c r="V244" i="1"/>
  <c r="V247" i="1"/>
  <c r="V250" i="1"/>
  <c r="V252" i="1"/>
  <c r="V253" i="1"/>
  <c r="V257" i="1"/>
  <c r="V260" i="1"/>
  <c r="V262" i="1"/>
  <c r="V263" i="1"/>
  <c r="V264" i="1"/>
  <c r="V265" i="1"/>
  <c r="V268" i="1"/>
  <c r="V269" i="1"/>
  <c r="V270" i="1"/>
  <c r="V272" i="1"/>
  <c r="V280" i="1"/>
  <c r="V281" i="1"/>
  <c r="V282" i="1"/>
  <c r="V283" i="1"/>
  <c r="V287" i="1"/>
  <c r="V288" i="1"/>
  <c r="V289" i="1"/>
  <c r="V291" i="1"/>
  <c r="V292" i="1"/>
  <c r="V293" i="1"/>
  <c r="V296" i="1"/>
  <c r="V297" i="1"/>
  <c r="V298" i="1"/>
  <c r="V299" i="1"/>
  <c r="V300" i="1"/>
  <c r="V301" i="1"/>
  <c r="V302" i="1"/>
  <c r="V303" i="1"/>
  <c r="V304" i="1"/>
  <c r="V310" i="1"/>
  <c r="V311" i="1"/>
  <c r="V316" i="1"/>
  <c r="V317" i="1"/>
  <c r="V318" i="1"/>
  <c r="V319" i="1"/>
  <c r="V320" i="1"/>
  <c r="V321" i="1"/>
  <c r="V322" i="1"/>
  <c r="V323" i="1"/>
  <c r="V324" i="1"/>
  <c r="W340" i="1"/>
  <c r="W359" i="1"/>
  <c r="W456" i="1"/>
  <c r="AH456" i="1" s="1"/>
  <c r="W462" i="1"/>
  <c r="AB462" i="1" s="1"/>
  <c r="W463" i="1"/>
  <c r="M449" i="1"/>
  <c r="V449" i="1" s="1"/>
  <c r="M445" i="1"/>
  <c r="V445" i="1" s="1"/>
  <c r="M448" i="1"/>
  <c r="V448" i="1" s="1"/>
  <c r="M447" i="1"/>
  <c r="V447" i="1" s="1"/>
  <c r="S458" i="1"/>
  <c r="V458" i="1" s="1"/>
  <c r="U458" i="1"/>
  <c r="S457" i="1"/>
  <c r="M457" i="1"/>
  <c r="U456" i="1"/>
  <c r="U462" i="1"/>
  <c r="S451" i="1"/>
  <c r="M451" i="1"/>
  <c r="V451" i="1" s="1"/>
  <c r="U463" i="1"/>
  <c r="M455" i="1"/>
  <c r="V455" i="1" s="1"/>
  <c r="M439" i="1"/>
  <c r="V439" i="1" s="1"/>
  <c r="M438" i="1"/>
  <c r="V438" i="1" s="1"/>
  <c r="M437" i="1"/>
  <c r="V437" i="1" s="1"/>
  <c r="V464" i="1" l="1"/>
  <c r="W464" i="1" s="1"/>
  <c r="AB464" i="1" s="1"/>
  <c r="W451" i="1"/>
  <c r="V457" i="1"/>
  <c r="W457" i="1" s="1"/>
  <c r="W449" i="1"/>
  <c r="AH449" i="1" s="1"/>
  <c r="U439" i="1"/>
  <c r="W439" i="1"/>
  <c r="W466" i="1"/>
  <c r="U451" i="1"/>
  <c r="U445" i="1"/>
  <c r="W445" i="1"/>
  <c r="AH445" i="1" s="1"/>
  <c r="U437" i="1"/>
  <c r="W437" i="1"/>
  <c r="U457" i="1"/>
  <c r="U447" i="1"/>
  <c r="W447" i="1"/>
  <c r="U466" i="1"/>
  <c r="U448" i="1"/>
  <c r="U449" i="1"/>
  <c r="W455" i="1"/>
  <c r="AH455" i="1" s="1"/>
  <c r="W438" i="1"/>
  <c r="W448" i="1"/>
  <c r="W458" i="1"/>
  <c r="U455" i="1"/>
  <c r="U438" i="1"/>
  <c r="W412" i="1"/>
  <c r="U412" i="1"/>
  <c r="AB519" i="1" l="1"/>
  <c r="M35" i="1"/>
  <c r="V35" i="1" s="1"/>
  <c r="W35" i="1" s="1"/>
  <c r="AB35" i="1" s="1"/>
  <c r="U35" i="1" l="1"/>
  <c r="W429" i="1" l="1"/>
  <c r="U429" i="1"/>
  <c r="V73" i="1"/>
  <c r="W73" i="1" s="1"/>
  <c r="V20" i="1"/>
  <c r="W20" i="1" s="1"/>
  <c r="V12" i="1"/>
  <c r="W12" i="1" s="1"/>
  <c r="V6" i="1"/>
  <c r="W6" i="1" s="1"/>
  <c r="V5" i="1"/>
  <c r="W5" i="1" s="1"/>
  <c r="U5" i="1"/>
  <c r="U6" i="1"/>
  <c r="U12" i="1"/>
  <c r="U20" i="1"/>
  <c r="U73" i="1"/>
  <c r="W450" i="1"/>
  <c r="U450" i="1"/>
  <c r="W436" i="1"/>
  <c r="AB436" i="1" s="1"/>
  <c r="U436" i="1"/>
  <c r="M248" i="1" l="1"/>
  <c r="W272" i="1"/>
  <c r="U272" i="1"/>
  <c r="U248" i="1" l="1"/>
  <c r="V248" i="1"/>
  <c r="W248" i="1" s="1"/>
  <c r="V15" i="1"/>
  <c r="W15" i="1" s="1"/>
  <c r="AH15" i="1" s="1"/>
  <c r="V43" i="1"/>
  <c r="W43" i="1" s="1"/>
  <c r="AH43" i="1" s="1"/>
  <c r="W247" i="1"/>
  <c r="W442" i="1"/>
  <c r="U43" i="1"/>
  <c r="U442" i="1"/>
  <c r="U247" i="1"/>
  <c r="U15" i="1"/>
  <c r="U435" i="1"/>
  <c r="L435" i="1"/>
  <c r="V435" i="1" s="1"/>
  <c r="W428" i="1"/>
  <c r="AH428" i="1" s="1"/>
  <c r="U428" i="1"/>
  <c r="W293" i="1"/>
  <c r="AH293" i="1" s="1"/>
  <c r="U293" i="1"/>
  <c r="W292" i="1"/>
  <c r="AH292" i="1" s="1"/>
  <c r="U292" i="1"/>
  <c r="L434" i="1"/>
  <c r="V434" i="1" s="1"/>
  <c r="U434" i="1"/>
  <c r="L433" i="1"/>
  <c r="V433" i="1" s="1"/>
  <c r="U433" i="1"/>
  <c r="N432" i="1"/>
  <c r="M432" i="1"/>
  <c r="V432" i="1" s="1"/>
  <c r="M431" i="1"/>
  <c r="V431" i="1" s="1"/>
  <c r="U432" i="1" l="1"/>
  <c r="W432" i="1"/>
  <c r="AH432" i="1" s="1"/>
  <c r="W433" i="1"/>
  <c r="AH433" i="1" s="1"/>
  <c r="W435" i="1"/>
  <c r="AH435" i="1" s="1"/>
  <c r="W434" i="1"/>
  <c r="AH434" i="1" s="1"/>
  <c r="U431" i="1"/>
  <c r="W431" i="1"/>
  <c r="AH431" i="1" s="1"/>
  <c r="U80" i="1"/>
  <c r="L80" i="1"/>
  <c r="V80" i="1" s="1"/>
  <c r="W80" i="1" s="1"/>
  <c r="AH80" i="1" s="1"/>
  <c r="L148" i="1"/>
  <c r="V148" i="1" s="1"/>
  <c r="W148" i="1" s="1"/>
  <c r="AH148" i="1" s="1"/>
  <c r="U148" i="1"/>
  <c r="M405" i="1"/>
  <c r="V405" i="1" s="1"/>
  <c r="M427" i="1"/>
  <c r="V427" i="1" s="1"/>
  <c r="M315" i="1"/>
  <c r="M314" i="1"/>
  <c r="M278" i="1"/>
  <c r="M277" i="1"/>
  <c r="M313" i="1"/>
  <c r="M312" i="1"/>
  <c r="S276" i="1"/>
  <c r="R276" i="1"/>
  <c r="U276" i="1"/>
  <c r="W441" i="1"/>
  <c r="AH441" i="1" s="1"/>
  <c r="U441" i="1"/>
  <c r="W291" i="1"/>
  <c r="AH291" i="1" s="1"/>
  <c r="U291" i="1"/>
  <c r="U231" i="1"/>
  <c r="L231" i="1"/>
  <c r="W381" i="1"/>
  <c r="AH381" i="1" s="1"/>
  <c r="W382" i="1"/>
  <c r="AH382" i="1" s="1"/>
  <c r="U382" i="1"/>
  <c r="U381" i="1"/>
  <c r="L246" i="1"/>
  <c r="U246" i="1"/>
  <c r="W421" i="1"/>
  <c r="AH421" i="1" s="1"/>
  <c r="U421" i="1"/>
  <c r="W420" i="1"/>
  <c r="AH420" i="1" s="1"/>
  <c r="U420" i="1"/>
  <c r="W419" i="1"/>
  <c r="AH419" i="1" s="1"/>
  <c r="U419" i="1"/>
  <c r="W230" i="1"/>
  <c r="AH230" i="1" s="1"/>
  <c r="U230" i="1"/>
  <c r="M245" i="1"/>
  <c r="W250" i="1"/>
  <c r="AH250" i="1" s="1"/>
  <c r="U250" i="1"/>
  <c r="W244" i="1"/>
  <c r="AH244" i="1" s="1"/>
  <c r="U244" i="1"/>
  <c r="M243" i="1"/>
  <c r="W242" i="1"/>
  <c r="AH242" i="1" s="1"/>
  <c r="U242" i="1"/>
  <c r="M218" i="1"/>
  <c r="U218" i="1" s="1"/>
  <c r="M241" i="1"/>
  <c r="S240" i="1"/>
  <c r="M240" i="1"/>
  <c r="V147" i="1"/>
  <c r="W147" i="1" s="1"/>
  <c r="AH147" i="1" s="1"/>
  <c r="U147" i="1"/>
  <c r="M206" i="1"/>
  <c r="U206" i="1" s="1"/>
  <c r="N205" i="1"/>
  <c r="V205" i="1" s="1"/>
  <c r="W205" i="1" s="1"/>
  <c r="AH205" i="1" s="1"/>
  <c r="V79" i="1"/>
  <c r="W79" i="1" s="1"/>
  <c r="AH79" i="1" s="1"/>
  <c r="U79" i="1"/>
  <c r="S217" i="1"/>
  <c r="M217" i="1"/>
  <c r="N211" i="1"/>
  <c r="U211" i="1" s="1"/>
  <c r="V246" i="1" l="1"/>
  <c r="W246" i="1" s="1"/>
  <c r="AH246" i="1" s="1"/>
  <c r="V231" i="1"/>
  <c r="W231" i="1" s="1"/>
  <c r="AH231" i="1" s="1"/>
  <c r="V240" i="1"/>
  <c r="W240" i="1" s="1"/>
  <c r="AH240" i="1" s="1"/>
  <c r="V276" i="1"/>
  <c r="W276" i="1" s="1"/>
  <c r="V245" i="1"/>
  <c r="W245" i="1" s="1"/>
  <c r="AH245" i="1" s="1"/>
  <c r="U313" i="1"/>
  <c r="V313" i="1"/>
  <c r="W313" i="1" s="1"/>
  <c r="AH313" i="1" s="1"/>
  <c r="U314" i="1"/>
  <c r="V314" i="1"/>
  <c r="W314" i="1" s="1"/>
  <c r="AH314" i="1" s="1"/>
  <c r="U315" i="1"/>
  <c r="V315" i="1"/>
  <c r="W315" i="1" s="1"/>
  <c r="AH315" i="1" s="1"/>
  <c r="V312" i="1"/>
  <c r="W312" i="1" s="1"/>
  <c r="AH312" i="1" s="1"/>
  <c r="V277" i="1"/>
  <c r="W277" i="1" s="1"/>
  <c r="AH277" i="1" s="1"/>
  <c r="W427" i="1"/>
  <c r="AH427" i="1" s="1"/>
  <c r="V243" i="1"/>
  <c r="W243" i="1" s="1"/>
  <c r="AH243" i="1" s="1"/>
  <c r="V278" i="1"/>
  <c r="W278" i="1" s="1"/>
  <c r="AH278" i="1" s="1"/>
  <c r="V241" i="1"/>
  <c r="W241" i="1" s="1"/>
  <c r="AH241" i="1" s="1"/>
  <c r="W405" i="1"/>
  <c r="AH405" i="1" s="1"/>
  <c r="U427" i="1"/>
  <c r="U277" i="1"/>
  <c r="U405" i="1"/>
  <c r="U278" i="1"/>
  <c r="U312" i="1"/>
  <c r="U245" i="1"/>
  <c r="U243" i="1"/>
  <c r="V217" i="1"/>
  <c r="W217" i="1" s="1"/>
  <c r="AH217" i="1" s="1"/>
  <c r="V218" i="1"/>
  <c r="W218" i="1" s="1"/>
  <c r="AH218" i="1" s="1"/>
  <c r="U241" i="1"/>
  <c r="U240" i="1"/>
  <c r="U205" i="1"/>
  <c r="V206" i="1"/>
  <c r="W206" i="1" s="1"/>
  <c r="AH206" i="1" s="1"/>
  <c r="V211" i="1"/>
  <c r="W211" i="1" s="1"/>
  <c r="AH211" i="1" s="1"/>
  <c r="U217" i="1"/>
  <c r="S411" i="1" l="1"/>
  <c r="N411" i="1"/>
  <c r="V411" i="1" l="1"/>
  <c r="W411" i="1" s="1"/>
  <c r="U411" i="1"/>
  <c r="M418" i="1"/>
  <c r="V418" i="1" s="1"/>
  <c r="W404" i="1"/>
  <c r="U404" i="1"/>
  <c r="W391" i="1"/>
  <c r="M417" i="1"/>
  <c r="V417" i="1" s="1"/>
  <c r="M373" i="1"/>
  <c r="V373" i="1" s="1"/>
  <c r="M426" i="1"/>
  <c r="V426" i="1" s="1"/>
  <c r="U373" i="1" l="1"/>
  <c r="W373" i="1"/>
  <c r="U417" i="1"/>
  <c r="W417" i="1"/>
  <c r="W418" i="1"/>
  <c r="U418" i="1"/>
  <c r="W426" i="1"/>
  <c r="U426" i="1"/>
  <c r="W425" i="1"/>
  <c r="AB425" i="1" s="1"/>
  <c r="U425" i="1"/>
  <c r="M249" i="1" l="1"/>
  <c r="V249" i="1" s="1"/>
  <c r="U249" i="1" l="1"/>
  <c r="W249" i="1"/>
  <c r="AH249" i="1" s="1"/>
  <c r="M413" i="1"/>
  <c r="V413" i="1" s="1"/>
  <c r="M424" i="1" l="1"/>
  <c r="V424" i="1" s="1"/>
  <c r="W424" i="1" l="1"/>
  <c r="AB424" i="1" s="1"/>
  <c r="U424" i="1"/>
  <c r="T423" i="1"/>
  <c r="M423" i="1"/>
  <c r="V423" i="1" l="1"/>
  <c r="W423" i="1" s="1"/>
  <c r="U423" i="1"/>
  <c r="M239" i="1"/>
  <c r="V239" i="1" s="1"/>
  <c r="U239" i="1" l="1"/>
  <c r="W239" i="1"/>
  <c r="AB239" i="1" s="1"/>
  <c r="W413" i="1"/>
  <c r="AH413" i="1" s="1"/>
  <c r="U413" i="1"/>
  <c r="W392" i="1"/>
  <c r="AH392" i="1" s="1"/>
  <c r="U392" i="1"/>
  <c r="AH391" i="1"/>
  <c r="U391" i="1"/>
  <c r="W403" i="1"/>
  <c r="AH403" i="1" s="1"/>
  <c r="U403" i="1" l="1"/>
  <c r="W402" i="1"/>
  <c r="AH402" i="1" s="1"/>
  <c r="U402" i="1"/>
  <c r="W410" i="1"/>
  <c r="AH410" i="1" s="1"/>
  <c r="U410" i="1"/>
  <c r="U331" i="1"/>
  <c r="L331" i="1"/>
  <c r="V331" i="1" s="1"/>
  <c r="S380" i="1"/>
  <c r="M380" i="1"/>
  <c r="S330" i="1"/>
  <c r="M330" i="1"/>
  <c r="M329" i="1"/>
  <c r="V329" i="1" s="1"/>
  <c r="M401" i="1"/>
  <c r="V401" i="1" s="1"/>
  <c r="S409" i="1"/>
  <c r="M409" i="1"/>
  <c r="S408" i="1"/>
  <c r="M408" i="1"/>
  <c r="S379" i="1"/>
  <c r="M379" i="1"/>
  <c r="M290" i="1"/>
  <c r="V290" i="1" s="1"/>
  <c r="M378" i="1"/>
  <c r="V378" i="1" s="1"/>
  <c r="T422" i="1"/>
  <c r="R422" i="1"/>
  <c r="M422" i="1"/>
  <c r="W398" i="1"/>
  <c r="U398" i="1"/>
  <c r="S390" i="1"/>
  <c r="M390" i="1"/>
  <c r="V196" i="1"/>
  <c r="V199" i="1"/>
  <c r="V201" i="1"/>
  <c r="V202" i="1"/>
  <c r="V203" i="1"/>
  <c r="V204" i="1"/>
  <c r="V207" i="1"/>
  <c r="V208" i="1"/>
  <c r="V210" i="1"/>
  <c r="W210" i="1" s="1"/>
  <c r="V213" i="1"/>
  <c r="V214" i="1"/>
  <c r="V216" i="1"/>
  <c r="W216" i="1" s="1"/>
  <c r="V37" i="1"/>
  <c r="W414" i="1"/>
  <c r="V9" i="1"/>
  <c r="V10" i="1"/>
  <c r="W328" i="1"/>
  <c r="U372" i="1"/>
  <c r="U328" i="1"/>
  <c r="M271" i="1"/>
  <c r="V271" i="1" s="1"/>
  <c r="W271" i="1" s="1"/>
  <c r="AB271" i="1" s="1"/>
  <c r="V390" i="1" l="1"/>
  <c r="W390" i="1" s="1"/>
  <c r="V379" i="1"/>
  <c r="W379" i="1" s="1"/>
  <c r="AH379" i="1" s="1"/>
  <c r="V330" i="1"/>
  <c r="W330" i="1" s="1"/>
  <c r="AH330" i="1" s="1"/>
  <c r="V422" i="1"/>
  <c r="W422" i="1" s="1"/>
  <c r="V409" i="1"/>
  <c r="W409" i="1" s="1"/>
  <c r="AH409" i="1" s="1"/>
  <c r="V408" i="1"/>
  <c r="W408" i="1" s="1"/>
  <c r="AH408" i="1" s="1"/>
  <c r="V380" i="1"/>
  <c r="W380" i="1" s="1"/>
  <c r="AH380" i="1" s="1"/>
  <c r="W329" i="1"/>
  <c r="AH329" i="1" s="1"/>
  <c r="W331" i="1"/>
  <c r="AH331" i="1" s="1"/>
  <c r="U401" i="1"/>
  <c r="W401" i="1"/>
  <c r="AH401" i="1" s="1"/>
  <c r="U330" i="1"/>
  <c r="U409" i="1"/>
  <c r="U271" i="1"/>
  <c r="W290" i="1"/>
  <c r="AH290" i="1" s="1"/>
  <c r="U408" i="1"/>
  <c r="U378" i="1"/>
  <c r="W378" i="1"/>
  <c r="AH378" i="1" s="1"/>
  <c r="U390" i="1"/>
  <c r="U379" i="1"/>
  <c r="U422" i="1"/>
  <c r="U380" i="1"/>
  <c r="U329" i="1"/>
  <c r="U290" i="1"/>
  <c r="X42" i="1" l="1"/>
  <c r="X41" i="1"/>
  <c r="X40" i="1"/>
  <c r="X39" i="1"/>
  <c r="X33" i="1"/>
  <c r="X32" i="1"/>
  <c r="X31" i="1"/>
  <c r="X30" i="1"/>
  <c r="X29" i="1"/>
  <c r="M13" i="1" l="1"/>
  <c r="M11" i="1"/>
  <c r="W10" i="1"/>
  <c r="U10" i="1"/>
  <c r="W9" i="1"/>
  <c r="U9" i="1"/>
  <c r="M8" i="1"/>
  <c r="V8" i="1" l="1"/>
  <c r="W8" i="1" s="1"/>
  <c r="U11" i="1"/>
  <c r="V11" i="1"/>
  <c r="W11" i="1" s="1"/>
  <c r="V13" i="1"/>
  <c r="W13" i="1" s="1"/>
  <c r="U13" i="1"/>
  <c r="U8" i="1"/>
  <c r="M397" i="1"/>
  <c r="V397" i="1" s="1"/>
  <c r="M389" i="1"/>
  <c r="V389" i="1" s="1"/>
  <c r="M388" i="1"/>
  <c r="V388" i="1" s="1"/>
  <c r="S416" i="1"/>
  <c r="M416" i="1"/>
  <c r="V416" i="1" l="1"/>
  <c r="W416" i="1" s="1"/>
  <c r="U388" i="1"/>
  <c r="W388" i="1"/>
  <c r="AB388" i="1" s="1"/>
  <c r="U389" i="1"/>
  <c r="W389" i="1"/>
  <c r="AB389" i="1" s="1"/>
  <c r="U397" i="1"/>
  <c r="W397" i="1"/>
  <c r="U416" i="1"/>
  <c r="M415" i="1"/>
  <c r="V415" i="1" s="1"/>
  <c r="U415" i="1" l="1"/>
  <c r="W415" i="1"/>
  <c r="AB415" i="1" s="1"/>
  <c r="X327" i="1"/>
  <c r="X185" i="1"/>
  <c r="X26" i="1"/>
  <c r="W358" i="1"/>
  <c r="AH358" i="1" s="1"/>
  <c r="U358" i="1"/>
  <c r="M275" i="1"/>
  <c r="V275" i="1" s="1"/>
  <c r="W270" i="1"/>
  <c r="AH270" i="1" s="1"/>
  <c r="U270" i="1"/>
  <c r="W269" i="1"/>
  <c r="AH269" i="1" s="1"/>
  <c r="U269" i="1"/>
  <c r="W263" i="1"/>
  <c r="AH263" i="1" s="1"/>
  <c r="W268" i="1"/>
  <c r="AH268" i="1" s="1"/>
  <c r="U263" i="1"/>
  <c r="U268" i="1"/>
  <c r="S267" i="1"/>
  <c r="V172" i="1"/>
  <c r="V174" i="1"/>
  <c r="V175" i="1"/>
  <c r="V176" i="1"/>
  <c r="V177" i="1"/>
  <c r="V178" i="1"/>
  <c r="V179" i="1"/>
  <c r="V180" i="1"/>
  <c r="V181" i="1"/>
  <c r="V182" i="1"/>
  <c r="V183" i="1"/>
  <c r="V184" i="1"/>
  <c r="V186" i="1"/>
  <c r="V187" i="1"/>
  <c r="V188" i="1"/>
  <c r="V189" i="1"/>
  <c r="V190" i="1"/>
  <c r="V191" i="1"/>
  <c r="V192" i="1"/>
  <c r="V193" i="1"/>
  <c r="W311" i="1"/>
  <c r="W289" i="1"/>
  <c r="AH289" i="1" s="1"/>
  <c r="M267" i="1"/>
  <c r="U289" i="1"/>
  <c r="V267" i="1" l="1"/>
  <c r="W267" i="1" s="1"/>
  <c r="AH267" i="1" s="1"/>
  <c r="U267" i="1"/>
  <c r="W275" i="1"/>
  <c r="AH275" i="1" s="1"/>
  <c r="W288" i="1" l="1"/>
  <c r="AH288" i="1" s="1"/>
  <c r="U288" i="1"/>
  <c r="W287" i="1"/>
  <c r="AH287" i="1" s="1"/>
  <c r="U287" i="1"/>
  <c r="M306" i="1"/>
  <c r="V306" i="1" s="1"/>
  <c r="S305" i="1"/>
  <c r="M305" i="1"/>
  <c r="AH311" i="1"/>
  <c r="U311" i="1"/>
  <c r="V115" i="1"/>
  <c r="V116" i="1"/>
  <c r="V117" i="1"/>
  <c r="V118" i="1"/>
  <c r="V121" i="1"/>
  <c r="V122" i="1"/>
  <c r="V124" i="1"/>
  <c r="V125" i="1"/>
  <c r="V126" i="1"/>
  <c r="V127" i="1"/>
  <c r="V128" i="1"/>
  <c r="V129" i="1"/>
  <c r="V130" i="1"/>
  <c r="V131" i="1"/>
  <c r="V132" i="1"/>
  <c r="V133" i="1"/>
  <c r="V135" i="1"/>
  <c r="V136" i="1"/>
  <c r="V137" i="1"/>
  <c r="V138" i="1"/>
  <c r="V140" i="1"/>
  <c r="V141" i="1"/>
  <c r="V142" i="1"/>
  <c r="V143" i="1"/>
  <c r="V145" i="1"/>
  <c r="V146" i="1"/>
  <c r="V149" i="1"/>
  <c r="V150" i="1"/>
  <c r="V151" i="1"/>
  <c r="V152" i="1"/>
  <c r="V153" i="1"/>
  <c r="V154" i="1"/>
  <c r="V155" i="1"/>
  <c r="V157" i="1"/>
  <c r="V158" i="1"/>
  <c r="W158" i="1" s="1"/>
  <c r="V160" i="1"/>
  <c r="V162" i="1"/>
  <c r="V163" i="1"/>
  <c r="V164" i="1"/>
  <c r="W164" i="1" s="1"/>
  <c r="V165" i="1"/>
  <c r="V166" i="1"/>
  <c r="V167" i="1"/>
  <c r="V168" i="1"/>
  <c r="V169" i="1"/>
  <c r="V170" i="1"/>
  <c r="V171" i="1"/>
  <c r="W171" i="1" s="1"/>
  <c r="AB414" i="1"/>
  <c r="W387" i="1"/>
  <c r="W355" i="1"/>
  <c r="AH355" i="1" s="1"/>
  <c r="M357" i="1"/>
  <c r="V357" i="1" s="1"/>
  <c r="M356" i="1"/>
  <c r="V356" i="1" s="1"/>
  <c r="U355" i="1"/>
  <c r="U354" i="1"/>
  <c r="L354" i="1"/>
  <c r="V354" i="1" s="1"/>
  <c r="V81" i="1"/>
  <c r="V82" i="1"/>
  <c r="V83" i="1"/>
  <c r="V84" i="1"/>
  <c r="V85" i="1"/>
  <c r="W85" i="1" s="1"/>
  <c r="V86" i="1"/>
  <c r="V87" i="1"/>
  <c r="V88" i="1"/>
  <c r="V89" i="1"/>
  <c r="V90" i="1"/>
  <c r="V92" i="1"/>
  <c r="V93" i="1"/>
  <c r="V94" i="1"/>
  <c r="V96" i="1"/>
  <c r="V99" i="1"/>
  <c r="V100" i="1"/>
  <c r="V101" i="1"/>
  <c r="V103" i="1"/>
  <c r="V104" i="1"/>
  <c r="V105" i="1"/>
  <c r="V106" i="1"/>
  <c r="V107" i="1"/>
  <c r="V108" i="1"/>
  <c r="W108" i="1" s="1"/>
  <c r="V109" i="1"/>
  <c r="W109" i="1" s="1"/>
  <c r="V110" i="1"/>
  <c r="V111" i="1"/>
  <c r="V112" i="1"/>
  <c r="V113" i="1"/>
  <c r="V114" i="1"/>
  <c r="W114" i="1" s="1"/>
  <c r="M266" i="1"/>
  <c r="V266" i="1" s="1"/>
  <c r="V25" i="1"/>
  <c r="V44" i="1"/>
  <c r="V45" i="1"/>
  <c r="V46" i="1"/>
  <c r="V47" i="1"/>
  <c r="V48" i="1"/>
  <c r="V49" i="1"/>
  <c r="V50" i="1"/>
  <c r="V51" i="1"/>
  <c r="V53" i="1"/>
  <c r="V54" i="1"/>
  <c r="W54" i="1" s="1"/>
  <c r="V55" i="1"/>
  <c r="V57" i="1"/>
  <c r="W57" i="1" s="1"/>
  <c r="V58" i="1"/>
  <c r="V60" i="1"/>
  <c r="V61" i="1"/>
  <c r="V62" i="1"/>
  <c r="V64" i="1"/>
  <c r="V65" i="1"/>
  <c r="V66" i="1"/>
  <c r="V67" i="1"/>
  <c r="W67" i="1" s="1"/>
  <c r="V68" i="1"/>
  <c r="V69" i="1"/>
  <c r="V70" i="1"/>
  <c r="V74" i="1"/>
  <c r="V76" i="1"/>
  <c r="U387" i="1"/>
  <c r="M407" i="1"/>
  <c r="V407" i="1" s="1"/>
  <c r="U414" i="1"/>
  <c r="V305" i="1" l="1"/>
  <c r="W305" i="1" s="1"/>
  <c r="AH305" i="1" s="1"/>
  <c r="W356" i="1"/>
  <c r="AH356" i="1" s="1"/>
  <c r="W354" i="1"/>
  <c r="AH354" i="1" s="1"/>
  <c r="W266" i="1"/>
  <c r="AB266" i="1" s="1"/>
  <c r="W357" i="1"/>
  <c r="AH357" i="1" s="1"/>
  <c r="W306" i="1"/>
  <c r="AH306" i="1" s="1"/>
  <c r="U407" i="1"/>
  <c r="W407" i="1"/>
  <c r="U305" i="1"/>
  <c r="U306" i="1"/>
  <c r="U357" i="1"/>
  <c r="U356" i="1"/>
  <c r="U266" i="1"/>
  <c r="U275" i="1"/>
  <c r="M406" i="1"/>
  <c r="V406" i="1" s="1"/>
  <c r="W406" i="1" l="1"/>
  <c r="U406" i="1"/>
  <c r="N327" i="1"/>
  <c r="V327" i="1" s="1"/>
  <c r="W327" i="1" l="1"/>
  <c r="AB327" i="1" s="1"/>
  <c r="U327" i="1"/>
  <c r="W400" i="1"/>
  <c r="AB400" i="1" s="1"/>
  <c r="U400" i="1"/>
  <c r="M27" i="1" l="1"/>
  <c r="V27" i="1" s="1"/>
  <c r="U27" i="1" l="1"/>
  <c r="W27" i="1"/>
  <c r="AB27" i="1" s="1"/>
  <c r="M19" i="1" l="1"/>
  <c r="V19" i="1" s="1"/>
  <c r="T394" i="1"/>
  <c r="M394" i="1"/>
  <c r="AB14" i="1"/>
  <c r="S396" i="1"/>
  <c r="M396" i="1"/>
  <c r="W386" i="1"/>
  <c r="AB386" i="1" s="1"/>
  <c r="U386" i="1"/>
  <c r="V394" i="1" l="1"/>
  <c r="W394" i="1" s="1"/>
  <c r="AB394" i="1" s="1"/>
  <c r="V396" i="1"/>
  <c r="W396" i="1" s="1"/>
  <c r="U396" i="1"/>
  <c r="W19" i="1"/>
  <c r="AB19" i="1" s="1"/>
  <c r="AB406" i="1" s="1"/>
  <c r="U19" i="1"/>
  <c r="T395" i="1"/>
  <c r="M395" i="1"/>
  <c r="U394" i="1"/>
  <c r="T393" i="1"/>
  <c r="M393" i="1"/>
  <c r="W385" i="1"/>
  <c r="AB385" i="1" s="1"/>
  <c r="U385" i="1"/>
  <c r="V393" i="1" l="1"/>
  <c r="W393" i="1" s="1"/>
  <c r="AB393" i="1" s="1"/>
  <c r="V395" i="1"/>
  <c r="W395" i="1" s="1"/>
  <c r="AB395" i="1" s="1"/>
  <c r="U395" i="1"/>
  <c r="U393" i="1"/>
  <c r="W399" i="1"/>
  <c r="AB399" i="1" s="1"/>
  <c r="U399" i="1"/>
  <c r="T259" i="1"/>
  <c r="S377" i="1" l="1"/>
  <c r="M377" i="1"/>
  <c r="W353" i="1"/>
  <c r="W352" i="1"/>
  <c r="U353" i="1"/>
  <c r="U352" i="1"/>
  <c r="W351" i="1"/>
  <c r="U351" i="1"/>
  <c r="W350" i="1"/>
  <c r="U350" i="1"/>
  <c r="W349" i="1"/>
  <c r="U349" i="1"/>
  <c r="W348" i="1"/>
  <c r="U348" i="1"/>
  <c r="W304" i="1"/>
  <c r="AB304" i="1" s="1"/>
  <c r="U304" i="1"/>
  <c r="W376" i="1"/>
  <c r="AB376" i="1" s="1"/>
  <c r="U376" i="1"/>
  <c r="W371" i="1"/>
  <c r="AB371" i="1" s="1"/>
  <c r="U371" i="1"/>
  <c r="W347" i="1"/>
  <c r="AB347" i="1" s="1"/>
  <c r="W346" i="1"/>
  <c r="W370" i="1"/>
  <c r="U347" i="1"/>
  <c r="U346" i="1"/>
  <c r="U370" i="1"/>
  <c r="W369" i="1"/>
  <c r="AB369" i="1" s="1"/>
  <c r="U369" i="1"/>
  <c r="W368" i="1"/>
  <c r="AB368" i="1" s="1"/>
  <c r="U368" i="1"/>
  <c r="AB375" i="1"/>
  <c r="U375" i="1"/>
  <c r="W367" i="1"/>
  <c r="AB367" i="1" s="1"/>
  <c r="U367" i="1"/>
  <c r="W374" i="1"/>
  <c r="AB374" i="1" s="1"/>
  <c r="U374" i="1"/>
  <c r="W366" i="1"/>
  <c r="AB366" i="1" s="1"/>
  <c r="U366" i="1"/>
  <c r="W345" i="1"/>
  <c r="AB345" i="1" s="1"/>
  <c r="U345" i="1"/>
  <c r="W344" i="1"/>
  <c r="AB344" i="1" s="1"/>
  <c r="U344" i="1"/>
  <c r="W343" i="1"/>
  <c r="AB343" i="1" s="1"/>
  <c r="U343" i="1"/>
  <c r="W365" i="1"/>
  <c r="W342" i="1"/>
  <c r="W341" i="1"/>
  <c r="W180" i="1"/>
  <c r="U365" i="1"/>
  <c r="U342" i="1"/>
  <c r="U341" i="1"/>
  <c r="AB340" i="1"/>
  <c r="U340" i="1"/>
  <c r="W339" i="1"/>
  <c r="U339" i="1"/>
  <c r="W338" i="1"/>
  <c r="AB338" i="1" s="1"/>
  <c r="U338" i="1"/>
  <c r="W326" i="1"/>
  <c r="U326" i="1"/>
  <c r="V377" i="1" l="1"/>
  <c r="W377" i="1" s="1"/>
  <c r="U377" i="1"/>
  <c r="AB339" i="1"/>
  <c r="AB342" i="1"/>
  <c r="M384" i="1" l="1"/>
  <c r="V384" i="1" s="1"/>
  <c r="W383" i="1"/>
  <c r="AB383" i="1" s="1"/>
  <c r="U383" i="1"/>
  <c r="U384" i="1" l="1"/>
  <c r="W384" i="1"/>
  <c r="AB384" i="1" s="1"/>
  <c r="W364" i="1"/>
  <c r="U364" i="1"/>
  <c r="W37" i="1"/>
  <c r="U37" i="1"/>
  <c r="X175" i="1"/>
  <c r="X212" i="1"/>
  <c r="X86" i="1"/>
  <c r="X3" i="1" l="1"/>
  <c r="W337" i="1"/>
  <c r="AB337" i="1" s="1"/>
  <c r="U337" i="1"/>
  <c r="W363" i="1"/>
  <c r="AB363" i="1" s="1"/>
  <c r="U363" i="1"/>
  <c r="W362" i="1"/>
  <c r="AB362" i="1" s="1"/>
  <c r="U362" i="1"/>
  <c r="W336" i="1"/>
  <c r="AB336" i="1" s="1"/>
  <c r="U336" i="1"/>
  <c r="W361" i="1"/>
  <c r="AB361" i="1" s="1"/>
  <c r="W360" i="1"/>
  <c r="AB360" i="1" s="1"/>
  <c r="U360" i="1"/>
  <c r="U361" i="1"/>
  <c r="AB359" i="1"/>
  <c r="U359" i="1"/>
  <c r="W325" i="1" l="1"/>
  <c r="AB325" i="1" s="1"/>
  <c r="U325" i="1"/>
  <c r="W324" i="1"/>
  <c r="AB324" i="1" s="1"/>
  <c r="U324" i="1"/>
  <c r="W323" i="1"/>
  <c r="AB323" i="1" s="1"/>
  <c r="U323" i="1"/>
  <c r="W322" i="1"/>
  <c r="AB322" i="1" s="1"/>
  <c r="U322" i="1"/>
  <c r="W321" i="1"/>
  <c r="AB321" i="1" s="1"/>
  <c r="U321" i="1"/>
  <c r="W335" i="1" l="1"/>
  <c r="AB335" i="1" s="1"/>
  <c r="U335" i="1"/>
  <c r="W310" i="1"/>
  <c r="AB310" i="1" s="1"/>
  <c r="U310" i="1"/>
  <c r="W334" i="1"/>
  <c r="AB334" i="1" s="1"/>
  <c r="U334" i="1"/>
  <c r="W333" i="1"/>
  <c r="AB333" i="1" s="1"/>
  <c r="U333" i="1"/>
  <c r="W301" i="1"/>
  <c r="AB301" i="1" s="1"/>
  <c r="U301" i="1"/>
  <c r="W262" i="1"/>
  <c r="AB262" i="1" s="1"/>
  <c r="U262" i="1"/>
  <c r="W303" i="1"/>
  <c r="AB303" i="1" s="1"/>
  <c r="U303" i="1"/>
  <c r="W320" i="1"/>
  <c r="AB320" i="1" s="1"/>
  <c r="U320" i="1"/>
  <c r="W300" i="1"/>
  <c r="AB300" i="1" s="1"/>
  <c r="U300" i="1"/>
  <c r="W302" i="1"/>
  <c r="AB302" i="1" s="1"/>
  <c r="U302" i="1"/>
  <c r="W299" i="1"/>
  <c r="AB299" i="1" s="1"/>
  <c r="U299" i="1"/>
  <c r="W298" i="1"/>
  <c r="AB298" i="1" s="1"/>
  <c r="U298" i="1"/>
  <c r="W332" i="1"/>
  <c r="AB332" i="1" s="1"/>
  <c r="U332" i="1"/>
  <c r="W319" i="1"/>
  <c r="AB319" i="1" s="1"/>
  <c r="U319" i="1" l="1"/>
  <c r="W318" i="1"/>
  <c r="AB318" i="1" s="1"/>
  <c r="U318" i="1"/>
  <c r="W297" i="1"/>
  <c r="AB297" i="1" s="1"/>
  <c r="W296" i="1"/>
  <c r="AB296" i="1" s="1"/>
  <c r="U297" i="1"/>
  <c r="U296" i="1"/>
  <c r="W317" i="1"/>
  <c r="AB317" i="1" s="1"/>
  <c r="U317" i="1"/>
  <c r="W316" i="1"/>
  <c r="AB316" i="1" s="1"/>
  <c r="U316" i="1"/>
  <c r="S309" i="1" l="1"/>
  <c r="M309" i="1"/>
  <c r="S286" i="1"/>
  <c r="M286" i="1"/>
  <c r="V286" i="1" l="1"/>
  <c r="W286" i="1" s="1"/>
  <c r="AB286" i="1" s="1"/>
  <c r="V309" i="1"/>
  <c r="W309" i="1" s="1"/>
  <c r="AB309" i="1" s="1"/>
  <c r="U309" i="1"/>
  <c r="U286" i="1"/>
  <c r="M21" i="1"/>
  <c r="U21" i="1" s="1"/>
  <c r="V21" i="1" l="1"/>
  <c r="W21" i="1" s="1"/>
  <c r="AB21" i="1" s="1"/>
  <c r="M307" i="1" l="1"/>
  <c r="V307" i="1" s="1"/>
  <c r="M308" i="1"/>
  <c r="V308" i="1" s="1"/>
  <c r="U307" i="1" l="1"/>
  <c r="W307" i="1"/>
  <c r="AB307" i="1" s="1"/>
  <c r="W308" i="1"/>
  <c r="AB308" i="1" s="1"/>
  <c r="U308" i="1"/>
  <c r="M7" i="1"/>
  <c r="V7" i="1" s="1"/>
  <c r="W7" i="1" s="1"/>
  <c r="AB7" i="1" s="1"/>
  <c r="M29" i="1"/>
  <c r="M30" i="1"/>
  <c r="M31" i="1"/>
  <c r="M32" i="1"/>
  <c r="M33" i="1"/>
  <c r="M39" i="1"/>
  <c r="M40" i="1"/>
  <c r="M41" i="1"/>
  <c r="V41" i="1" s="1"/>
  <c r="M42" i="1"/>
  <c r="V42" i="1" s="1"/>
  <c r="M285" i="1"/>
  <c r="V285" i="1" s="1"/>
  <c r="W87" i="1"/>
  <c r="W94" i="1"/>
  <c r="M284" i="1"/>
  <c r="V284" i="1" s="1"/>
  <c r="M274" i="1"/>
  <c r="V274" i="1" s="1"/>
  <c r="W283" i="1"/>
  <c r="AB283" i="1" s="1"/>
  <c r="U283" i="1"/>
  <c r="W282" i="1"/>
  <c r="AB282" i="1" s="1"/>
  <c r="U282" i="1"/>
  <c r="W281" i="1"/>
  <c r="U281" i="1"/>
  <c r="W280" i="1"/>
  <c r="U280" i="1"/>
  <c r="O259" i="1"/>
  <c r="V259" i="1" s="1"/>
  <c r="S273" i="1"/>
  <c r="M273" i="1"/>
  <c r="S261" i="1"/>
  <c r="M261" i="1"/>
  <c r="S295" i="1"/>
  <c r="V295" i="1" s="1"/>
  <c r="U295" i="1"/>
  <c r="S258" i="1"/>
  <c r="M258" i="1"/>
  <c r="V273" i="1" l="1"/>
  <c r="W273" i="1" s="1"/>
  <c r="V261" i="1"/>
  <c r="W261" i="1" s="1"/>
  <c r="V258" i="1"/>
  <c r="W258" i="1" s="1"/>
  <c r="U259" i="1"/>
  <c r="W259" i="1"/>
  <c r="AB259" i="1" s="1"/>
  <c r="W295" i="1"/>
  <c r="U30" i="1"/>
  <c r="V30" i="1"/>
  <c r="W30" i="1" s="1"/>
  <c r="AB30" i="1" s="1"/>
  <c r="U273" i="1"/>
  <c r="W42" i="1"/>
  <c r="AB42" i="1" s="1"/>
  <c r="U41" i="1"/>
  <c r="W41" i="1"/>
  <c r="AB41" i="1" s="1"/>
  <c r="U258" i="1"/>
  <c r="U274" i="1"/>
  <c r="U39" i="1"/>
  <c r="V39" i="1"/>
  <c r="W39" i="1" s="1"/>
  <c r="AB39" i="1" s="1"/>
  <c r="U285" i="1"/>
  <c r="U29" i="1"/>
  <c r="V29" i="1"/>
  <c r="W29" i="1" s="1"/>
  <c r="AB29" i="1" s="1"/>
  <c r="U40" i="1"/>
  <c r="V40" i="1"/>
  <c r="W40" i="1" s="1"/>
  <c r="AB40" i="1" s="1"/>
  <c r="W284" i="1"/>
  <c r="AB284" i="1" s="1"/>
  <c r="U33" i="1"/>
  <c r="V33" i="1"/>
  <c r="W33" i="1" s="1"/>
  <c r="AB33" i="1" s="1"/>
  <c r="V32" i="1"/>
  <c r="W32" i="1" s="1"/>
  <c r="AB32" i="1" s="1"/>
  <c r="U31" i="1"/>
  <c r="V31" i="1"/>
  <c r="W31" i="1" s="1"/>
  <c r="AB31" i="1" s="1"/>
  <c r="U42" i="1"/>
  <c r="U7" i="1"/>
  <c r="U32" i="1"/>
  <c r="U284" i="1"/>
  <c r="W285" i="1"/>
  <c r="AB285" i="1" s="1"/>
  <c r="W274" i="1"/>
  <c r="AB274" i="1" s="1"/>
  <c r="U261" i="1"/>
  <c r="N24" i="1"/>
  <c r="M24" i="1"/>
  <c r="W129" i="1"/>
  <c r="M17" i="1"/>
  <c r="V17" i="1" s="1"/>
  <c r="W17" i="1" s="1"/>
  <c r="M34" i="1"/>
  <c r="M36" i="1"/>
  <c r="V24" i="1" l="1"/>
  <c r="W24" i="1" s="1"/>
  <c r="U36" i="1"/>
  <c r="V36" i="1"/>
  <c r="W36" i="1" s="1"/>
  <c r="U34" i="1"/>
  <c r="V34" i="1"/>
  <c r="W34" i="1" s="1"/>
  <c r="U17" i="1"/>
  <c r="U24" i="1"/>
  <c r="N279" i="1"/>
  <c r="V279" i="1" l="1"/>
  <c r="U279" i="1"/>
  <c r="W279" i="1"/>
  <c r="AB418" i="1" s="1"/>
  <c r="W103" i="1"/>
  <c r="AH103" i="1" s="1"/>
  <c r="U103" i="1"/>
  <c r="W229" i="1"/>
  <c r="U229" i="1"/>
  <c r="M224" i="1"/>
  <c r="V224" i="1" s="1"/>
  <c r="M225" i="1"/>
  <c r="V225" i="1" s="1"/>
  <c r="M223" i="1"/>
  <c r="V223" i="1" s="1"/>
  <c r="M219" i="1"/>
  <c r="V219" i="1" s="1"/>
  <c r="M220" i="1"/>
  <c r="V220" i="1" s="1"/>
  <c r="M226" i="1"/>
  <c r="V226" i="1" s="1"/>
  <c r="M227" i="1"/>
  <c r="V227" i="1" s="1"/>
  <c r="W228" i="1"/>
  <c r="U228" i="1"/>
  <c r="M294" i="1"/>
  <c r="V294" i="1" s="1"/>
  <c r="M95" i="1"/>
  <c r="V95" i="1" s="1"/>
  <c r="W122" i="1"/>
  <c r="AH122" i="1" s="1"/>
  <c r="U122" i="1"/>
  <c r="AB107" i="1"/>
  <c r="W136" i="1"/>
  <c r="AB136" i="1" s="1"/>
  <c r="U136" i="1"/>
  <c r="W135" i="1"/>
  <c r="AB135" i="1" s="1"/>
  <c r="U135" i="1"/>
  <c r="W220" i="1" l="1"/>
  <c r="AB220" i="1" s="1"/>
  <c r="W219" i="1"/>
  <c r="AB219" i="1" s="1"/>
  <c r="W224" i="1"/>
  <c r="AB224" i="1" s="1"/>
  <c r="W227" i="1"/>
  <c r="AB227" i="1" s="1"/>
  <c r="W226" i="1"/>
  <c r="AB226" i="1" s="1"/>
  <c r="W95" i="1"/>
  <c r="W223" i="1"/>
  <c r="AB223" i="1" s="1"/>
  <c r="W294" i="1"/>
  <c r="AB294" i="1" s="1"/>
  <c r="W225" i="1"/>
  <c r="AB225" i="1" s="1"/>
  <c r="U294" i="1"/>
  <c r="U95" i="1"/>
  <c r="W64" i="1" l="1"/>
  <c r="AH64" i="1" s="1"/>
  <c r="U64" i="1"/>
  <c r="W121" i="1"/>
  <c r="AH121" i="1" s="1"/>
  <c r="U121" i="1"/>
  <c r="U226" i="1" l="1"/>
  <c r="U224" i="1"/>
  <c r="U225" i="1"/>
  <c r="U223" i="1"/>
  <c r="U219" i="1"/>
  <c r="U220" i="1"/>
  <c r="U227" i="1"/>
  <c r="M139" i="1" l="1"/>
  <c r="V139" i="1" s="1"/>
  <c r="M215" i="1"/>
  <c r="V215" i="1" s="1"/>
  <c r="T173" i="1"/>
  <c r="R173" i="1"/>
  <c r="M173" i="1"/>
  <c r="V173" i="1" l="1"/>
  <c r="W173" i="1" s="1"/>
  <c r="U173" i="1"/>
  <c r="W215" i="1"/>
  <c r="W139" i="1"/>
  <c r="U215" i="1"/>
  <c r="U139" i="1"/>
  <c r="W265" i="1" l="1"/>
  <c r="AB265" i="1" s="1"/>
  <c r="U265" i="1"/>
  <c r="W153" i="1" l="1"/>
  <c r="AB153" i="1" s="1"/>
  <c r="U153" i="1"/>
  <c r="W111" i="1"/>
  <c r="U111" i="1"/>
  <c r="M77" i="1"/>
  <c r="M238" i="1"/>
  <c r="V238" i="1" s="1"/>
  <c r="W192" i="1"/>
  <c r="U192" i="1"/>
  <c r="W238" i="1" l="1"/>
  <c r="V77" i="1"/>
  <c r="W77" i="1" s="1"/>
  <c r="U238" i="1"/>
  <c r="U77" i="1"/>
  <c r="AB248" i="1" l="1"/>
  <c r="M198" i="1"/>
  <c r="V198" i="1" s="1"/>
  <c r="M123" i="1"/>
  <c r="V123" i="1" s="1"/>
  <c r="U123" i="1" l="1"/>
  <c r="W198" i="1"/>
  <c r="U198" i="1"/>
  <c r="W123" i="1"/>
  <c r="W237" i="1" l="1"/>
  <c r="AB237" i="1" s="1"/>
  <c r="M212" i="1"/>
  <c r="V212" i="1" s="1"/>
  <c r="U237" i="1"/>
  <c r="N26" i="1"/>
  <c r="N185" i="1"/>
  <c r="V185" i="1" s="1"/>
  <c r="U26" i="1" l="1"/>
  <c r="V26" i="1"/>
  <c r="W26" i="1" s="1"/>
  <c r="AB26" i="1" s="1"/>
  <c r="W212" i="1"/>
  <c r="AB212" i="1" s="1"/>
  <c r="U185" i="1"/>
  <c r="W185" i="1"/>
  <c r="AB185" i="1" s="1"/>
  <c r="U212" i="1"/>
  <c r="W152" i="1" l="1"/>
  <c r="AB152" i="1" s="1"/>
  <c r="U152" i="1"/>
  <c r="W264" i="1" l="1"/>
  <c r="AH264" i="1" s="1"/>
  <c r="U264" i="1"/>
  <c r="W260" i="1"/>
  <c r="AH260" i="1" s="1"/>
  <c r="U260" i="1"/>
  <c r="W257" i="1"/>
  <c r="AH257" i="1" s="1"/>
  <c r="U257" i="1"/>
  <c r="M256" i="1"/>
  <c r="V256" i="1" s="1"/>
  <c r="S255" i="1"/>
  <c r="M255" i="1"/>
  <c r="V22" i="1"/>
  <c r="V23" i="1"/>
  <c r="W105" i="1"/>
  <c r="AB105" i="1" s="1"/>
  <c r="W149" i="1"/>
  <c r="AB149" i="1" s="1"/>
  <c r="W169" i="1"/>
  <c r="AB169" i="1" s="1"/>
  <c r="W86" i="1"/>
  <c r="AB86" i="1" s="1"/>
  <c r="W175" i="1"/>
  <c r="AB175" i="1" s="1"/>
  <c r="U86" i="1"/>
  <c r="U169" i="1"/>
  <c r="U149" i="1"/>
  <c r="W53" i="1"/>
  <c r="M91" i="1"/>
  <c r="V91" i="1" s="1"/>
  <c r="U105" i="1"/>
  <c r="M52" i="1"/>
  <c r="W52" i="1" s="1"/>
  <c r="V255" i="1" l="1"/>
  <c r="W255" i="1" s="1"/>
  <c r="AH255" i="1" s="1"/>
  <c r="U52" i="1"/>
  <c r="V52" i="1"/>
  <c r="U91" i="1"/>
  <c r="W91" i="1"/>
  <c r="AB91" i="1" s="1"/>
  <c r="U256" i="1"/>
  <c r="W256" i="1"/>
  <c r="AH256" i="1" s="1"/>
  <c r="U255" i="1"/>
  <c r="AB52" i="1"/>
  <c r="U58" i="1" l="1"/>
  <c r="U66" i="1"/>
  <c r="U68" i="1"/>
  <c r="U87" i="1"/>
  <c r="U99" i="1"/>
  <c r="U104" i="1"/>
  <c r="U106" i="1"/>
  <c r="U110" i="1"/>
  <c r="U112" i="1"/>
  <c r="U113" i="1"/>
  <c r="U117" i="1"/>
  <c r="U124" i="1"/>
  <c r="U125" i="1"/>
  <c r="U126" i="1"/>
  <c r="U127" i="1"/>
  <c r="U128" i="1"/>
  <c r="U131" i="1"/>
  <c r="U133" i="1"/>
  <c r="U137" i="1"/>
  <c r="U138" i="1"/>
  <c r="U140" i="1"/>
  <c r="U141" i="1"/>
  <c r="U142" i="1"/>
  <c r="U143" i="1"/>
  <c r="U145" i="1"/>
  <c r="U155" i="1"/>
  <c r="U162" i="1"/>
  <c r="U163" i="1"/>
  <c r="U165" i="1"/>
  <c r="U166" i="1"/>
  <c r="U170" i="1"/>
  <c r="U172" i="1"/>
  <c r="U174" i="1"/>
  <c r="U176" i="1"/>
  <c r="U177" i="1"/>
  <c r="U178" i="1"/>
  <c r="U179" i="1"/>
  <c r="U180" i="1"/>
  <c r="U182" i="1"/>
  <c r="U183" i="1"/>
  <c r="U184" i="1"/>
  <c r="U186" i="1"/>
  <c r="U187" i="1"/>
  <c r="U188" i="1"/>
  <c r="U189" i="1"/>
  <c r="U190" i="1"/>
  <c r="U191" i="1"/>
  <c r="U193" i="1"/>
  <c r="U199" i="1"/>
  <c r="U201" i="1"/>
  <c r="U202" i="1"/>
  <c r="U203" i="1"/>
  <c r="U204" i="1"/>
  <c r="U210" i="1"/>
  <c r="U213" i="1"/>
  <c r="U216" i="1"/>
  <c r="U44" i="1"/>
  <c r="U45" i="1"/>
  <c r="U46" i="1"/>
  <c r="U47" i="1"/>
  <c r="U48" i="1"/>
  <c r="U49" i="1"/>
  <c r="U50" i="1"/>
  <c r="U51" i="1"/>
  <c r="U54" i="1"/>
  <c r="U55" i="1"/>
  <c r="U57" i="1"/>
  <c r="U59" i="1"/>
  <c r="U60" i="1"/>
  <c r="U61" i="1"/>
  <c r="U62" i="1"/>
  <c r="U65" i="1"/>
  <c r="U67" i="1"/>
  <c r="U69" i="1"/>
  <c r="U70" i="1"/>
  <c r="U74" i="1"/>
  <c r="U76" i="1"/>
  <c r="U81" i="1"/>
  <c r="U82" i="1"/>
  <c r="U83" i="1"/>
  <c r="U84" i="1"/>
  <c r="U85" i="1"/>
  <c r="U88" i="1"/>
  <c r="U89" i="1"/>
  <c r="U90" i="1"/>
  <c r="U92" i="1"/>
  <c r="U93" i="1"/>
  <c r="U94" i="1"/>
  <c r="U96" i="1"/>
  <c r="U100" i="1"/>
  <c r="U101" i="1"/>
  <c r="U107" i="1"/>
  <c r="U108" i="1"/>
  <c r="U109" i="1"/>
  <c r="U114" i="1"/>
  <c r="U115" i="1"/>
  <c r="U116" i="1"/>
  <c r="U129" i="1"/>
  <c r="U181" i="1"/>
  <c r="U130" i="1"/>
  <c r="U132" i="1"/>
  <c r="U150" i="1"/>
  <c r="U151" i="1"/>
  <c r="U154" i="1"/>
  <c r="U158" i="1"/>
  <c r="U164" i="1"/>
  <c r="U167" i="1"/>
  <c r="U171" i="1"/>
  <c r="U175" i="1"/>
  <c r="U222" i="1"/>
  <c r="U118" i="1"/>
  <c r="U208" i="1"/>
  <c r="U160" i="1"/>
  <c r="U196" i="1"/>
  <c r="U207" i="1"/>
  <c r="U157" i="1"/>
  <c r="U22" i="1"/>
  <c r="U235" i="1"/>
  <c r="U23" i="1"/>
  <c r="U252" i="1"/>
  <c r="U214" i="1"/>
  <c r="U146" i="1"/>
  <c r="U253" i="1"/>
  <c r="U25" i="1"/>
  <c r="U168" i="1"/>
  <c r="U53" i="1"/>
  <c r="T63" i="1"/>
  <c r="S63" i="1"/>
  <c r="M63" i="1"/>
  <c r="M156" i="1"/>
  <c r="V156" i="1" s="1"/>
  <c r="AB54" i="1"/>
  <c r="M254" i="1"/>
  <c r="V254" i="1" s="1"/>
  <c r="M209" i="1"/>
  <c r="V209" i="1" s="1"/>
  <c r="W168" i="1"/>
  <c r="AB168" i="1" s="1"/>
  <c r="M28" i="1"/>
  <c r="V28" i="1" s="1"/>
  <c r="W25" i="1"/>
  <c r="AB25" i="1" s="1"/>
  <c r="M221" i="1"/>
  <c r="V221" i="1" s="1"/>
  <c r="W253" i="1"/>
  <c r="AB253" i="1" s="1"/>
  <c r="M236" i="1"/>
  <c r="V236" i="1" s="1"/>
  <c r="M159" i="1"/>
  <c r="V159" i="1" s="1"/>
  <c r="W146" i="1"/>
  <c r="W214" i="1"/>
  <c r="AH214" i="1" s="1"/>
  <c r="V63" i="1" l="1"/>
  <c r="W28" i="1"/>
  <c r="AB28" i="1" s="1"/>
  <c r="W209" i="1"/>
  <c r="AB209" i="1" s="1"/>
  <c r="W159" i="1"/>
  <c r="AB159" i="1" s="1"/>
  <c r="W254" i="1"/>
  <c r="AB254" i="1" s="1"/>
  <c r="W236" i="1"/>
  <c r="AB236" i="1" s="1"/>
  <c r="W221" i="1"/>
  <c r="AB221" i="1" s="1"/>
  <c r="W156" i="1"/>
  <c r="AB156" i="1" s="1"/>
  <c r="U63" i="1"/>
  <c r="U156" i="1"/>
  <c r="W63" i="1"/>
  <c r="U221" i="1"/>
  <c r="U28" i="1"/>
  <c r="U236" i="1"/>
  <c r="U254" i="1"/>
  <c r="U159" i="1"/>
  <c r="U209" i="1"/>
  <c r="W252" i="1" l="1"/>
  <c r="AB252" i="1" s="1"/>
  <c r="AB61" i="1"/>
  <c r="AB60" i="1"/>
  <c r="W23" i="1"/>
  <c r="AB23" i="1" s="1"/>
  <c r="M38" i="1"/>
  <c r="V38" i="1" s="1"/>
  <c r="AB51" i="1"/>
  <c r="W235" i="1"/>
  <c r="AB235" i="1" s="1"/>
  <c r="S232" i="1"/>
  <c r="M234" i="1"/>
  <c r="V234" i="1" s="1"/>
  <c r="M233" i="1"/>
  <c r="V233" i="1" s="1"/>
  <c r="M232" i="1"/>
  <c r="V232" i="1" l="1"/>
  <c r="W232" i="1" s="1"/>
  <c r="AB451" i="1" s="1"/>
  <c r="U38" i="1"/>
  <c r="W38" i="1"/>
  <c r="AB38" i="1" s="1"/>
  <c r="U232" i="1"/>
  <c r="U234" i="1"/>
  <c r="W234" i="1"/>
  <c r="AB234" i="1" s="1"/>
  <c r="W233" i="1"/>
  <c r="AB233" i="1" s="1"/>
  <c r="U233" i="1"/>
  <c r="S16" i="1" l="1"/>
  <c r="M16" i="1"/>
  <c r="U16" i="1" l="1"/>
  <c r="V16" i="1"/>
  <c r="W16" i="1" s="1"/>
  <c r="AB16" i="1" s="1"/>
  <c r="AH167" i="1" l="1"/>
  <c r="M14" i="1" l="1"/>
  <c r="S72" i="1"/>
  <c r="M72" i="1"/>
  <c r="S71" i="1"/>
  <c r="M71" i="1"/>
  <c r="AC3" i="1"/>
  <c r="AD3" i="1"/>
  <c r="AE3" i="1"/>
  <c r="AF3" i="1"/>
  <c r="AG3" i="1"/>
  <c r="O3" i="1"/>
  <c r="P3" i="1"/>
  <c r="Q3" i="1"/>
  <c r="R3" i="1"/>
  <c r="T3" i="1"/>
  <c r="L3" i="1"/>
  <c r="V71" i="1" l="1"/>
  <c r="W71" i="1" s="1"/>
  <c r="V72" i="1"/>
  <c r="W72" i="1" s="1"/>
  <c r="U71" i="1"/>
  <c r="U72" i="1"/>
  <c r="U14" i="1"/>
  <c r="V14" i="1"/>
  <c r="W22" i="1"/>
  <c r="AB22" i="1" s="1"/>
  <c r="W157" i="1" l="1"/>
  <c r="AB157" i="1" s="1"/>
  <c r="N195" i="1"/>
  <c r="S195" i="1"/>
  <c r="V195" i="1" l="1"/>
  <c r="W195" i="1" s="1"/>
  <c r="U195" i="1"/>
  <c r="W207" i="1" l="1"/>
  <c r="AH207" i="1" s="1"/>
  <c r="N161" i="1" l="1"/>
  <c r="V161" i="1" s="1"/>
  <c r="M102" i="1"/>
  <c r="V102" i="1" s="1"/>
  <c r="W196" i="1"/>
  <c r="AH196" i="1" s="1"/>
  <c r="M144" i="1"/>
  <c r="V144" i="1" s="1"/>
  <c r="M97" i="1"/>
  <c r="V97" i="1" s="1"/>
  <c r="U161" i="1" l="1"/>
  <c r="W161" i="1"/>
  <c r="AH161" i="1" s="1"/>
  <c r="W97" i="1"/>
  <c r="AH97" i="1" s="1"/>
  <c r="U97" i="1"/>
  <c r="W144" i="1"/>
  <c r="AH144" i="1" s="1"/>
  <c r="U144" i="1"/>
  <c r="W102" i="1"/>
  <c r="AH102" i="1" s="1"/>
  <c r="U102" i="1"/>
  <c r="N3" i="1"/>
  <c r="M98" i="1" l="1"/>
  <c r="V98" i="1" s="1"/>
  <c r="W160" i="1"/>
  <c r="AH160" i="1" s="1"/>
  <c r="W208" i="1"/>
  <c r="AH208" i="1" s="1"/>
  <c r="S197" i="1"/>
  <c r="M197" i="1"/>
  <c r="W118" i="1"/>
  <c r="AH118" i="1" s="1"/>
  <c r="V197" i="1" l="1"/>
  <c r="W197" i="1" s="1"/>
  <c r="AH197" i="1" s="1"/>
  <c r="U197" i="1"/>
  <c r="W98" i="1"/>
  <c r="AH98" i="1" s="1"/>
  <c r="U98" i="1"/>
  <c r="W222" i="1"/>
  <c r="AB222" i="1" s="1"/>
  <c r="S56" i="1" l="1"/>
  <c r="M56" i="1"/>
  <c r="V56" i="1" l="1"/>
  <c r="W56" i="1" s="1"/>
  <c r="AB56" i="1" s="1"/>
  <c r="U56" i="1"/>
  <c r="V194" i="1"/>
  <c r="W194" i="1" s="1"/>
  <c r="AB372" i="1" s="1"/>
  <c r="AH93" i="1"/>
  <c r="AH94" i="1"/>
  <c r="AH67" i="1"/>
  <c r="W145" i="1"/>
  <c r="AB145" i="1" s="1"/>
  <c r="M120" i="1"/>
  <c r="V120" i="1" s="1"/>
  <c r="M119" i="1"/>
  <c r="V119" i="1" s="1"/>
  <c r="W120" i="1" l="1"/>
  <c r="AB120" i="1" s="1"/>
  <c r="U120" i="1"/>
  <c r="U194" i="1"/>
  <c r="W119" i="1"/>
  <c r="AB119" i="1" s="1"/>
  <c r="U119" i="1"/>
  <c r="AH3" i="1"/>
  <c r="W58" i="1"/>
  <c r="AB58" i="1" s="1"/>
  <c r="W191" i="1" l="1"/>
  <c r="AB191" i="1" s="1"/>
  <c r="W189" i="1"/>
  <c r="AB189" i="1" s="1"/>
  <c r="W128" i="1"/>
  <c r="AB128" i="1" s="1"/>
  <c r="W141" i="1"/>
  <c r="AB141" i="1" s="1"/>
  <c r="W140" i="1"/>
  <c r="AB140" i="1" s="1"/>
  <c r="M134" i="1"/>
  <c r="V134" i="1" s="1"/>
  <c r="W182" i="1"/>
  <c r="AB182" i="1" s="1"/>
  <c r="W183" i="1"/>
  <c r="AB183" i="1" s="1"/>
  <c r="W203" i="1"/>
  <c r="AB203" i="1" s="1"/>
  <c r="AB210" i="1"/>
  <c r="W190" i="1"/>
  <c r="AB190" i="1" s="1"/>
  <c r="W134" i="1" l="1"/>
  <c r="AB134" i="1" s="1"/>
  <c r="U134" i="1"/>
  <c r="W155" i="1"/>
  <c r="AB155" i="1" s="1"/>
  <c r="W49" i="1"/>
  <c r="S59" i="1"/>
  <c r="V59" i="1" s="1"/>
  <c r="M75" i="1"/>
  <c r="S75" i="1"/>
  <c r="M200" i="1"/>
  <c r="S200" i="1"/>
  <c r="M78" i="1"/>
  <c r="V78" i="1" s="1"/>
  <c r="W78" i="1" s="1"/>
  <c r="W193" i="1"/>
  <c r="AB193" i="1" s="1"/>
  <c r="W213" i="1"/>
  <c r="AB213" i="1" s="1"/>
  <c r="W201" i="1"/>
  <c r="AB201" i="1" s="1"/>
  <c r="W199" i="1"/>
  <c r="AB199" i="1" s="1"/>
  <c r="W184" i="1"/>
  <c r="AB184" i="1" s="1"/>
  <c r="AB216" i="1"/>
  <c r="W186" i="1"/>
  <c r="AB186" i="1" s="1"/>
  <c r="W187" i="1"/>
  <c r="AB187" i="1" s="1"/>
  <c r="W188" i="1"/>
  <c r="AB188" i="1" s="1"/>
  <c r="W204" i="1"/>
  <c r="AB204" i="1" s="1"/>
  <c r="W202" i="1"/>
  <c r="AB202" i="1" s="1"/>
  <c r="V200" i="1" l="1"/>
  <c r="W200" i="1" s="1"/>
  <c r="U75" i="1"/>
  <c r="V75" i="1"/>
  <c r="W75" i="1" s="1"/>
  <c r="U200" i="1"/>
  <c r="AB78" i="1"/>
  <c r="AB3" i="1" s="1"/>
  <c r="U78" i="1"/>
  <c r="M3" i="1"/>
  <c r="S3" i="1"/>
  <c r="U3" i="1" l="1"/>
  <c r="W59" i="1"/>
  <c r="W3" i="1" s="1"/>
  <c r="V3" i="1"/>
</calcChain>
</file>

<file path=xl/comments1.xml><?xml version="1.0" encoding="utf-8"?>
<comments xmlns="http://schemas.openxmlformats.org/spreadsheetml/2006/main">
  <authors>
    <author>USUARIO</author>
    <author>Usuario</author>
  </authors>
  <commentList>
    <comment ref="AB1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pago dos veces, el 5/9 y el 23/10
</t>
        </r>
      </text>
    </comment>
    <comment ref="AB2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pagaron las 3 N/D con cheques a 0, 30 y 60 días</t>
        </r>
      </text>
    </comment>
    <comment ref="AB2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Todas las facturas de Agosto se pagaron juntas con tres cheques: al día, al 24/11 y al 9/12.</t>
        </r>
      </text>
    </comment>
    <comment ref="AA3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pago el 2/9/2024 la mitad y se cancelo en octubre el 50% pendiente</t>
        </r>
      </text>
    </comment>
    <comment ref="V4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Revisar subtotal del gravado y exento según factura</t>
        </r>
      </text>
    </comment>
    <comment ref="AB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Pagada en agosto</t>
        </r>
      </text>
    </comment>
    <comment ref="AB8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Con cheque al día 10/9/24 y un cheque diferido al 10/10/24</t>
        </r>
      </text>
    </comment>
    <comment ref="AB11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Revisar comprobante</t>
        </r>
      </text>
    </comment>
    <comment ref="I13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Verificar Remito</t>
        </r>
      </text>
    </comment>
    <comment ref="AB16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transfirió 370.800,00</t>
        </r>
      </text>
    </comment>
    <comment ref="AB21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abonaron facturas emitidas en 2024-09 con un cheque al dia y dos cheques al 11/12/2024 y al 10/01/2025</t>
        </r>
      </text>
    </comment>
    <comment ref="AB28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Saldo a favor. Se pago 1.892.260,87</t>
        </r>
      </text>
    </comment>
    <comment ref="AA294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PAGO ANTICIPADO (REVISAR QUE ES)
</t>
        </r>
      </text>
    </comment>
    <comment ref="AB34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Pedir factura por ese monto</t>
        </r>
      </text>
    </comment>
    <comment ref="AB34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Pedir factura por $528.000</t>
        </r>
      </text>
    </comment>
    <comment ref="AB351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EMITIR NOTA DE CREDITO POR EL DOBLE $755.200</t>
        </r>
      </text>
    </comment>
    <comment ref="AB393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pagaron las tres facturas en 3 partes, 1 con transferencia y dos con cheques diferidos a 30 y 60 días</t>
        </r>
      </text>
    </comment>
    <comment ref="AB39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FALTA FACTURA</t>
        </r>
      </text>
    </comment>
    <comment ref="AB40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pago anticipado.</t>
        </r>
      </text>
    </comment>
    <comment ref="AH40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Vuelto $675,15</t>
        </r>
      </text>
    </comment>
    <comment ref="AB414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pagan $2.000.000, mitad es con comprobante y la otra mitad es sin. Se transfiere a dos cuentas distintas</t>
        </r>
      </text>
    </comment>
    <comment ref="AB415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pago con tres cheques, al dia, a 30 y a 60 días</t>
        </r>
      </text>
    </comment>
  </commentList>
</comments>
</file>

<file path=xl/sharedStrings.xml><?xml version="1.0" encoding="utf-8"?>
<sst xmlns="http://schemas.openxmlformats.org/spreadsheetml/2006/main" count="6927" uniqueCount="991">
  <si>
    <t>SERVICIOS MÉDICOS ESMERALDA S.R.L .</t>
  </si>
  <si>
    <t>PROVEEDORES</t>
  </si>
  <si>
    <t>Mes</t>
  </si>
  <si>
    <t>Fecha</t>
  </si>
  <si>
    <t>Tipo</t>
  </si>
  <si>
    <t>Descripción</t>
  </si>
  <si>
    <t>CUIT</t>
  </si>
  <si>
    <t>Neto</t>
  </si>
  <si>
    <t>IVA 21%</t>
  </si>
  <si>
    <t>IVA 10,5%</t>
  </si>
  <si>
    <t>IVA 27%</t>
  </si>
  <si>
    <t>Percepcion IVA 3%</t>
  </si>
  <si>
    <t>Percepcion IIBB Salta 3,6%</t>
  </si>
  <si>
    <t>Impuestos Internos / Otros Tributos</t>
  </si>
  <si>
    <t>Total</t>
  </si>
  <si>
    <t>Total a Pagar</t>
  </si>
  <si>
    <t>SICORE</t>
  </si>
  <si>
    <t>Banco Macro CC</t>
  </si>
  <si>
    <t>Banco Macro CC Esp.</t>
  </si>
  <si>
    <t>Saldo S/Contabilidad</t>
  </si>
  <si>
    <t>PROVISIONES 2023</t>
  </si>
  <si>
    <t>ANTICIPOS A PROV.2023</t>
  </si>
  <si>
    <t>Ajustes</t>
  </si>
  <si>
    <t>Caja</t>
  </si>
  <si>
    <t>Saldo S/Auditoria</t>
  </si>
  <si>
    <t>2024-09</t>
  </si>
  <si>
    <t>FAC</t>
  </si>
  <si>
    <t>C</t>
  </si>
  <si>
    <t>0001</t>
  </si>
  <si>
    <t>00000008</t>
  </si>
  <si>
    <t>00000014</t>
  </si>
  <si>
    <t>Flores Gimena Fernanda</t>
  </si>
  <si>
    <t>0003</t>
  </si>
  <si>
    <t>00000075</t>
  </si>
  <si>
    <t>Yapura Gilda Anabel</t>
  </si>
  <si>
    <t>00000074</t>
  </si>
  <si>
    <t>Honorarios Mucama P2024-08</t>
  </si>
  <si>
    <t>0002</t>
  </si>
  <si>
    <t>00000081</t>
  </si>
  <si>
    <t>Sosa Natalia Milagro</t>
  </si>
  <si>
    <t>Servicio Enfermeria UTI P2024-08</t>
  </si>
  <si>
    <t>00000035</t>
  </si>
  <si>
    <t>Ale Jacinto Elias</t>
  </si>
  <si>
    <t>00000022</t>
  </si>
  <si>
    <t>Choque Gimena del Milagro</t>
  </si>
  <si>
    <t>00000083</t>
  </si>
  <si>
    <t>Subelza Maria Teresa</t>
  </si>
  <si>
    <t>00000007</t>
  </si>
  <si>
    <t>Nieva Mirna Beatriz</t>
  </si>
  <si>
    <t>Servicio Enfermeria UTI P2024-08 (Arias Belen)</t>
  </si>
  <si>
    <t>00000104</t>
  </si>
  <si>
    <t>Guaymas Andrea del Milagro</t>
  </si>
  <si>
    <t>00000050</t>
  </si>
  <si>
    <t>Salto Patricia Raquel</t>
  </si>
  <si>
    <t>Honorarios Servicio Enfermeria P2024-08</t>
  </si>
  <si>
    <t>00000004</t>
  </si>
  <si>
    <t>Colque Carlos Alberto</t>
  </si>
  <si>
    <t>Honorarios por servicios Piso P2024-08 (Aramayo Angelica)</t>
  </si>
  <si>
    <t>A</t>
  </si>
  <si>
    <t>0021</t>
  </si>
  <si>
    <t>00000414</t>
  </si>
  <si>
    <t>AG MAX S.R.L.</t>
  </si>
  <si>
    <t>Mercadería para oficina</t>
  </si>
  <si>
    <t>00004838</t>
  </si>
  <si>
    <t>0172</t>
  </si>
  <si>
    <t>00012199</t>
  </si>
  <si>
    <t>DISTRIBUIDORA VIDT SRL</t>
  </si>
  <si>
    <t>0005</t>
  </si>
  <si>
    <t>00002098</t>
  </si>
  <si>
    <t>FERREMUNDO S.R.L.</t>
  </si>
  <si>
    <t>B</t>
  </si>
  <si>
    <t>0011</t>
  </si>
  <si>
    <t>00125495</t>
  </si>
  <si>
    <t>SUDNE S.A.</t>
  </si>
  <si>
    <t>0004</t>
  </si>
  <si>
    <t>00002140</t>
  </si>
  <si>
    <t>DORADO CLAUDIO MARIO REYES</t>
  </si>
  <si>
    <t>00001797</t>
  </si>
  <si>
    <t>GUERRERO JULIO UMBERTO</t>
  </si>
  <si>
    <t>00000658</t>
  </si>
  <si>
    <t>DRSKA CARLOS FEDERICO</t>
  </si>
  <si>
    <t>Toner Alternativo</t>
  </si>
  <si>
    <t>00000418</t>
  </si>
  <si>
    <t>00001803</t>
  </si>
  <si>
    <t>0016</t>
  </si>
  <si>
    <t>00043672</t>
  </si>
  <si>
    <t>MASTER CLEAN S.A.</t>
  </si>
  <si>
    <t>Insumos de Lavandería y Limpieza</t>
  </si>
  <si>
    <t>01550568</t>
  </si>
  <si>
    <t>AMX ARGENTINA SOCIEDAD ANONIMA</t>
  </si>
  <si>
    <t>00001806</t>
  </si>
  <si>
    <t>00001804</t>
  </si>
  <si>
    <t>00001805</t>
  </si>
  <si>
    <t>0067</t>
  </si>
  <si>
    <t>00118744</t>
  </si>
  <si>
    <t>LIBRERIA SAN PABLO S.R.L.</t>
  </si>
  <si>
    <t>Insumos de Librería</t>
  </si>
  <si>
    <t>0817</t>
  </si>
  <si>
    <t>00032633</t>
  </si>
  <si>
    <t>CORREO OFICIAL DE LA REPUBLICA ARGENTINA S.A.</t>
  </si>
  <si>
    <t>Correo</t>
  </si>
  <si>
    <t>00000112</t>
  </si>
  <si>
    <t>DELGADO KEVIN NICOLÁS</t>
  </si>
  <si>
    <t>00001808</t>
  </si>
  <si>
    <t>0023</t>
  </si>
  <si>
    <t>00000311</t>
  </si>
  <si>
    <t>00001809</t>
  </si>
  <si>
    <t>0007</t>
  </si>
  <si>
    <t>00023948</t>
  </si>
  <si>
    <t>FIGALLO SANDRA MARIA</t>
  </si>
  <si>
    <t>00023949</t>
  </si>
  <si>
    <t>0068</t>
  </si>
  <si>
    <t>00013872</t>
  </si>
  <si>
    <t>0014</t>
  </si>
  <si>
    <t>00032867</t>
  </si>
  <si>
    <t>MARTINEZ Y MARTINEZ S R L</t>
  </si>
  <si>
    <t>00008429</t>
  </si>
  <si>
    <t>OCAÑA GAS S.R.L.</t>
  </si>
  <si>
    <t>0069</t>
  </si>
  <si>
    <t>00001170</t>
  </si>
  <si>
    <t>ULI S.R.L.</t>
  </si>
  <si>
    <t>Insumos de pintureria</t>
  </si>
  <si>
    <t>00012401</t>
  </si>
  <si>
    <t>00000660</t>
  </si>
  <si>
    <t>0052</t>
  </si>
  <si>
    <t>00153443</t>
  </si>
  <si>
    <t>Gustavo E. Aguilar S.A.S.</t>
  </si>
  <si>
    <t>00152227</t>
  </si>
  <si>
    <t>00000078</t>
  </si>
  <si>
    <t>Distribuidora King Pack S.A.S.</t>
  </si>
  <si>
    <t>00003255</t>
  </si>
  <si>
    <t>Salus S.A.</t>
  </si>
  <si>
    <t>Equipo de cirugia Mayor esteril descartable</t>
  </si>
  <si>
    <t>00001161</t>
  </si>
  <si>
    <t>00000124</t>
  </si>
  <si>
    <t>Duran Soto Darmin Yohana</t>
  </si>
  <si>
    <t>Honorarios Medicos P2024-08</t>
  </si>
  <si>
    <t>00000021</t>
  </si>
  <si>
    <t>Castro Pereyra Rojas Maria Monserrat</t>
  </si>
  <si>
    <t>Direccion de obra mensual</t>
  </si>
  <si>
    <t>00001807</t>
  </si>
  <si>
    <t>00080121</t>
  </si>
  <si>
    <t>Insumos de Farmacia</t>
  </si>
  <si>
    <t>00000031</t>
  </si>
  <si>
    <t>Ibañez Mario Ruben</t>
  </si>
  <si>
    <t>00006264</t>
  </si>
  <si>
    <t>FARMACORP S.A.S.</t>
  </si>
  <si>
    <t>00006315</t>
  </si>
  <si>
    <t>00006211</t>
  </si>
  <si>
    <t>00006232</t>
  </si>
  <si>
    <t>00006287</t>
  </si>
  <si>
    <t>0006</t>
  </si>
  <si>
    <t>00000824</t>
  </si>
  <si>
    <t>Oliva Danilo Andres</t>
  </si>
  <si>
    <t>00022424</t>
  </si>
  <si>
    <t>MELS S.R.L.</t>
  </si>
  <si>
    <t>Suministro de agua P2024-09</t>
  </si>
  <si>
    <t>00000001</t>
  </si>
  <si>
    <t>Drogueria Brumax S.A.S.</t>
  </si>
  <si>
    <t>00000010</t>
  </si>
  <si>
    <t>Diaz Puertas Matias</t>
  </si>
  <si>
    <t>Honorarios Guardias Medicas P2024-08</t>
  </si>
  <si>
    <t>Agüero Fuentes Matias Gabriel</t>
  </si>
  <si>
    <t>Hurtado Ignacio Javier</t>
  </si>
  <si>
    <t>Servicios médicos prestados P2024-08</t>
  </si>
  <si>
    <t>00000217</t>
  </si>
  <si>
    <t>Palma Figueroa Ignacio Javier</t>
  </si>
  <si>
    <t>00000077</t>
  </si>
  <si>
    <t xml:space="preserve">Gonzalez Magali Elizabeth </t>
  </si>
  <si>
    <t>00000006</t>
  </si>
  <si>
    <t>Gerez Gerardo Edgardo</t>
  </si>
  <si>
    <t>Honorarios Guardias Medicas Piso P2024-08</t>
  </si>
  <si>
    <t>00000005</t>
  </si>
  <si>
    <t>Honorarios Guardias Medicas UTI P2024-08</t>
  </si>
  <si>
    <t>00000033</t>
  </si>
  <si>
    <t>Guedilla Rodriguez Donato Braian Andreas</t>
  </si>
  <si>
    <t>00000009</t>
  </si>
  <si>
    <t>Atención médica en guardia central P2024-08</t>
  </si>
  <si>
    <t>00000044</t>
  </si>
  <si>
    <t>Muñoz Rocio Sofia</t>
  </si>
  <si>
    <t>00000082</t>
  </si>
  <si>
    <t>Alves Shalon Carlos</t>
  </si>
  <si>
    <t>00000034</t>
  </si>
  <si>
    <t>Ortiz Juan Manuel</t>
  </si>
  <si>
    <t>Bono incentivo UTI P2024-08</t>
  </si>
  <si>
    <t>00000017</t>
  </si>
  <si>
    <t>Fragola Antonela Belen</t>
  </si>
  <si>
    <t>00000095</t>
  </si>
  <si>
    <t>Condori Claudia Lorena</t>
  </si>
  <si>
    <t>00000041</t>
  </si>
  <si>
    <t>Neriz Natalia Vanesa</t>
  </si>
  <si>
    <t>00000029</t>
  </si>
  <si>
    <t>Chahle Amalia Rosa</t>
  </si>
  <si>
    <t>00000237</t>
  </si>
  <si>
    <t>Lagoria Raul Miguel</t>
  </si>
  <si>
    <t>Imprenta</t>
  </si>
  <si>
    <t>00000429</t>
  </si>
  <si>
    <t>00000430</t>
  </si>
  <si>
    <t>00012619</t>
  </si>
  <si>
    <t>00000680</t>
  </si>
  <si>
    <t>0025</t>
  </si>
  <si>
    <t>00001038</t>
  </si>
  <si>
    <t>PETIT PLAST S.A.</t>
  </si>
  <si>
    <t>Bolsas de consorcio</t>
  </si>
  <si>
    <t>Comprobante</t>
  </si>
  <si>
    <t>Punto de Venta</t>
  </si>
  <si>
    <t>No Gravado</t>
  </si>
  <si>
    <t>Credito Fiscal</t>
  </si>
  <si>
    <t>00006222</t>
  </si>
  <si>
    <t>00006239</t>
  </si>
  <si>
    <t>00006330</t>
  </si>
  <si>
    <t>0017</t>
  </si>
  <si>
    <t>Lavasol S.R.L.</t>
  </si>
  <si>
    <t>Lavanderia P2024-08</t>
  </si>
  <si>
    <t>00006902</t>
  </si>
  <si>
    <t>00000002</t>
  </si>
  <si>
    <t>Di Santi Mazzone Agustina</t>
  </si>
  <si>
    <t>Garcia Mendoza Lautaro Miguel</t>
  </si>
  <si>
    <t>Flores Urquiza Nicolas Mariano</t>
  </si>
  <si>
    <t>Servicios Radiología P2024-08</t>
  </si>
  <si>
    <t>Farias Bustillos Camila Belen</t>
  </si>
  <si>
    <t>Guardias médicas P2024-08</t>
  </si>
  <si>
    <t>Guzman Cynthia Fernanda</t>
  </si>
  <si>
    <t>00000047</t>
  </si>
  <si>
    <t>Patricio Norma Elvira</t>
  </si>
  <si>
    <t>00000054</t>
  </si>
  <si>
    <t>Medina Escobar Guadalupe Leonor</t>
  </si>
  <si>
    <t>00000055</t>
  </si>
  <si>
    <t>00000056</t>
  </si>
  <si>
    <t>00000121</t>
  </si>
  <si>
    <t>Rosales Agustina Micaela</t>
  </si>
  <si>
    <t>Laci Lucia Laura</t>
  </si>
  <si>
    <t>Honorarios Kinesiologia y Fisioterapia P2024-08</t>
  </si>
  <si>
    <t>00000149</t>
  </si>
  <si>
    <t>Valdez Orlando Lino</t>
  </si>
  <si>
    <t>Etiquetas de fila</t>
  </si>
  <si>
    <t>Total general</t>
  </si>
  <si>
    <t>Suma de Total</t>
  </si>
  <si>
    <t>Servicio Enfermeria Piso P2024-08 (Ivana Gonzales)</t>
  </si>
  <si>
    <t>Servicio Enfermeria Piso P2024-08</t>
  </si>
  <si>
    <t>00000073</t>
  </si>
  <si>
    <t>Tapia Patricia Lorena</t>
  </si>
  <si>
    <t>Honorarios Profesionales P2024-08 (Lopez Natalia Marcela)</t>
  </si>
  <si>
    <t>Valda Sanchez Milagros Belen</t>
  </si>
  <si>
    <t>Servicio Mucama de quirofano P2024-08</t>
  </si>
  <si>
    <t>00000177</t>
  </si>
  <si>
    <t>Lera Claudia Beatriz</t>
  </si>
  <si>
    <t>00000015</t>
  </si>
  <si>
    <t>Cruz Maria Fernanda</t>
  </si>
  <si>
    <t>Benicio Ivana Belen</t>
  </si>
  <si>
    <t>Perez Jesus Miguel</t>
  </si>
  <si>
    <t>Guanca Dalma Natalia</t>
  </si>
  <si>
    <t>Honorarios IPS P2024-08</t>
  </si>
  <si>
    <t>00000028</t>
  </si>
  <si>
    <t>Schej Maria Eugenia</t>
  </si>
  <si>
    <t>00000046</t>
  </si>
  <si>
    <t>Servicio de instrumentación quirofano P2024-08</t>
  </si>
  <si>
    <t>Servicio de instrumentación quirofano P2024-08 (Guari Tania)</t>
  </si>
  <si>
    <t>Villagran Cintia Lorena Elizabeth</t>
  </si>
  <si>
    <t>Servicio de instrumentación quirofano P2024-08 (Velazco Melisa)</t>
  </si>
  <si>
    <t>Transportes La Sevillanita S.R.L.</t>
  </si>
  <si>
    <t>Flete Tubotomografo</t>
  </si>
  <si>
    <t>0327</t>
  </si>
  <si>
    <t>01970969</t>
  </si>
  <si>
    <t>00018850</t>
  </si>
  <si>
    <t>Materiales de iluminación para construcción</t>
  </si>
  <si>
    <t>0101</t>
  </si>
  <si>
    <t>01453000</t>
  </si>
  <si>
    <t>EDESA S.A.</t>
  </si>
  <si>
    <t>Suministro de luz mensual P2024-08 (Factura a nombre de CHAHLE)</t>
  </si>
  <si>
    <t>Drogueria Salta Salud SRL</t>
  </si>
  <si>
    <t>00000825</t>
  </si>
  <si>
    <t>00028265</t>
  </si>
  <si>
    <t>Drogueria Pharma Center S.R.L.</t>
  </si>
  <si>
    <t>00000413</t>
  </si>
  <si>
    <t>Servicio de telefonia</t>
  </si>
  <si>
    <t>Carbone Claudia Alejandra</t>
  </si>
  <si>
    <t>Fotocopias - Insumos de librería y oficina</t>
  </si>
  <si>
    <t>Sucesion Nomi Abdenur</t>
  </si>
  <si>
    <t>Gastos Sin Factura</t>
  </si>
  <si>
    <t>01965790</t>
  </si>
  <si>
    <t>00002162</t>
  </si>
  <si>
    <t>Oxigeno Salta SRL</t>
  </si>
  <si>
    <t>Suministro mensual oxigeno P2024-08</t>
  </si>
  <si>
    <t>Ibañez Claudia Elizabeth</t>
  </si>
  <si>
    <t>00000170</t>
  </si>
  <si>
    <t>Salvatierra Maria Marta</t>
  </si>
  <si>
    <t>Honorarios interconsulta nutricion Sancor</t>
  </si>
  <si>
    <t>00012788</t>
  </si>
  <si>
    <t>00001816</t>
  </si>
  <si>
    <t>00000148</t>
  </si>
  <si>
    <t>Rodriguez Octavio Orlando</t>
  </si>
  <si>
    <t xml:space="preserve">Insumos varios </t>
  </si>
  <si>
    <t>00004855</t>
  </si>
  <si>
    <t>Accesorios reparacion sanitarios</t>
  </si>
  <si>
    <t>6685</t>
  </si>
  <si>
    <t>00016637</t>
  </si>
  <si>
    <t>Encomiendas y fletes</t>
  </si>
  <si>
    <t>Bus Pack S.A.</t>
  </si>
  <si>
    <t>00013615</t>
  </si>
  <si>
    <t>Pizarro Refrigeraciones S.R.L.</t>
  </si>
  <si>
    <t>Capacitor Cooltech Dual 20+2 440 V</t>
  </si>
  <si>
    <t>Cruz Rosana Paola Soraya</t>
  </si>
  <si>
    <t>A cuenta de servicio de fumigacion</t>
  </si>
  <si>
    <t>01970272</t>
  </si>
  <si>
    <t>Flete Bionuclear</t>
  </si>
  <si>
    <t>Tecnograf S.A.</t>
  </si>
  <si>
    <t>Impresora Brother HL 1212 W</t>
  </si>
  <si>
    <t>0034</t>
  </si>
  <si>
    <t>00006783</t>
  </si>
  <si>
    <t>Insumos de limpieza y desinfeccion</t>
  </si>
  <si>
    <t>Insumos varios para reparacion de sanitarios</t>
  </si>
  <si>
    <t>00000420</t>
  </si>
  <si>
    <t>Gallardo Ruben Orlando</t>
  </si>
  <si>
    <t>Instalacion jabalinos tomografo</t>
  </si>
  <si>
    <t>Viobal S.R.L.</t>
  </si>
  <si>
    <t>Mantenimiento Ascensor P2024-09</t>
  </si>
  <si>
    <t>00025241</t>
  </si>
  <si>
    <t>2024-08</t>
  </si>
  <si>
    <t>00000836</t>
  </si>
  <si>
    <t>Balderrama Walter Ruben</t>
  </si>
  <si>
    <t>Soporte Sistema Informatico P2024-08</t>
  </si>
  <si>
    <t>00000831</t>
  </si>
  <si>
    <t>Estado</t>
  </si>
  <si>
    <t>Cancelada</t>
  </si>
  <si>
    <t>No Cancelada</t>
  </si>
  <si>
    <t>Soporte Sistema Informatico P2024-07</t>
  </si>
  <si>
    <t>Etiquetas de columna</t>
  </si>
  <si>
    <t>TOTALES</t>
  </si>
  <si>
    <t>00000194</t>
  </si>
  <si>
    <t>Reparacion de ascensor - Cambio de rueda</t>
  </si>
  <si>
    <t>00000195</t>
  </si>
  <si>
    <t>Reparacion de ascensor - Cambio de correderas, ruedas, guiadores, etc</t>
  </si>
  <si>
    <t>00022028</t>
  </si>
  <si>
    <t>Suministro de agua P2024-08</t>
  </si>
  <si>
    <t>Fecha de Pago</t>
  </si>
  <si>
    <t>00002088</t>
  </si>
  <si>
    <t>2024-10</t>
  </si>
  <si>
    <t>00002245</t>
  </si>
  <si>
    <t>Suministro mensual oxigeno P2024-09</t>
  </si>
  <si>
    <t>0024</t>
  </si>
  <si>
    <t>00004446</t>
  </si>
  <si>
    <t>Electricidad RD SRL</t>
  </si>
  <si>
    <t>00022806</t>
  </si>
  <si>
    <t>Suministro de agua P2024-10</t>
  </si>
  <si>
    <t>00000843</t>
  </si>
  <si>
    <t>Soporte Sistema Informatico P2024-09</t>
  </si>
  <si>
    <t>Suministro mensual oxigeno P2024-07</t>
  </si>
  <si>
    <t>00023317</t>
  </si>
  <si>
    <t>Habitat Ecológico S.A.</t>
  </si>
  <si>
    <t>00038838</t>
  </si>
  <si>
    <t>Soluciones fisiologicas</t>
  </si>
  <si>
    <t>Drogueria Plaza Oña S.A.</t>
  </si>
  <si>
    <t>00000285</t>
  </si>
  <si>
    <t>Yañez Alejandra Ines</t>
  </si>
  <si>
    <t>Honorarios Dirección Obra P2024-09</t>
  </si>
  <si>
    <t>00001817</t>
  </si>
  <si>
    <t>Zambrana Enrique Ricardo</t>
  </si>
  <si>
    <t>Ploteo Vidrios Vinilo Impreso</t>
  </si>
  <si>
    <t>00002484</t>
  </si>
  <si>
    <t>Mafra SAS</t>
  </si>
  <si>
    <t>00000837</t>
  </si>
  <si>
    <t>00005852</t>
  </si>
  <si>
    <t>Medicfarma S.R.L.</t>
  </si>
  <si>
    <t>Proveedor / Razón Social</t>
  </si>
  <si>
    <t>00000020</t>
  </si>
  <si>
    <t>Borjas Ricardo Rodrigo</t>
  </si>
  <si>
    <t>00000032</t>
  </si>
  <si>
    <t>Bionet SRL</t>
  </si>
  <si>
    <t>Aspirador de secreciones Maverick Modelo 7E-C</t>
  </si>
  <si>
    <t>1001</t>
  </si>
  <si>
    <t>00000220</t>
  </si>
  <si>
    <t>Lopez Maria Eugenia</t>
  </si>
  <si>
    <t>00012742</t>
  </si>
  <si>
    <t>Invrec S.A.</t>
  </si>
  <si>
    <t>Insumos sanitarios</t>
  </si>
  <si>
    <t>00012783</t>
  </si>
  <si>
    <t>00008979</t>
  </si>
  <si>
    <t>Arsus SAS</t>
  </si>
  <si>
    <t>Insumos para obra en construccion</t>
  </si>
  <si>
    <t>Moneda</t>
  </si>
  <si>
    <t>ARS</t>
  </si>
  <si>
    <t>USD</t>
  </si>
  <si>
    <t>00002946</t>
  </si>
  <si>
    <t>Alquiler digitalizador</t>
  </si>
  <si>
    <t>00000746</t>
  </si>
  <si>
    <t>Titaves Servicios Informaticos SRL</t>
  </si>
  <si>
    <t>Servicio Mantenimiento Sistema Freya P2024-09</t>
  </si>
  <si>
    <t>00000030</t>
  </si>
  <si>
    <t>Alquiler mensual septiembre 2024</t>
  </si>
  <si>
    <t>0037</t>
  </si>
  <si>
    <t>00015195</t>
  </si>
  <si>
    <t>Fertel S.A.</t>
  </si>
  <si>
    <t>Acuña Pamela Virginia</t>
  </si>
  <si>
    <t>00000157</t>
  </si>
  <si>
    <t>Lorca Federico Javier</t>
  </si>
  <si>
    <t>Honorarios abogado</t>
  </si>
  <si>
    <t>00003219</t>
  </si>
  <si>
    <t>00012964</t>
  </si>
  <si>
    <t>0022</t>
  </si>
  <si>
    <t>00000519</t>
  </si>
  <si>
    <t>00001822</t>
  </si>
  <si>
    <t>TICKET</t>
  </si>
  <si>
    <t>X</t>
  </si>
  <si>
    <t>00000080</t>
  </si>
  <si>
    <t>Cadete</t>
  </si>
  <si>
    <t>GASTOS SIN FACTURAS</t>
  </si>
  <si>
    <t>00000036</t>
  </si>
  <si>
    <t>Chaile Luciana Estefania</t>
  </si>
  <si>
    <t>Rehabilitación kinesiologica (honorarios medicos)</t>
  </si>
  <si>
    <t>N/D</t>
  </si>
  <si>
    <t>00000130</t>
  </si>
  <si>
    <t>Intec SRL</t>
  </si>
  <si>
    <t>Diferencia de Cambio Cuota 2° Ecografo</t>
  </si>
  <si>
    <t>00000127</t>
  </si>
  <si>
    <t>Diferencia de Cambio Cuota 1° Ecografo</t>
  </si>
  <si>
    <t>Servicios de informatica  - Trabajos realizados de informatica</t>
  </si>
  <si>
    <t>M</t>
  </si>
  <si>
    <t>0010</t>
  </si>
  <si>
    <t>00000039</t>
  </si>
  <si>
    <t>Distrivel S.A.S.</t>
  </si>
  <si>
    <t>Articulos medicos varios</t>
  </si>
  <si>
    <t>00000048</t>
  </si>
  <si>
    <t>00188071</t>
  </si>
  <si>
    <t>Avalian Salud y Bienestar Coop. Ltda.</t>
  </si>
  <si>
    <t>Prestaciones exentas</t>
  </si>
  <si>
    <t>00000748</t>
  </si>
  <si>
    <t>Laboratorios Farkim SRL</t>
  </si>
  <si>
    <t>Diferencia de cambio</t>
  </si>
  <si>
    <t>00000571</t>
  </si>
  <si>
    <t>Grupo San Cayetano SRL</t>
  </si>
  <si>
    <t>Servicio de recolección de residuos con contenedor</t>
  </si>
  <si>
    <t>00000037</t>
  </si>
  <si>
    <t>Rehabilitación kinesica (honorarios medicos)</t>
  </si>
  <si>
    <t>REC</t>
  </si>
  <si>
    <t>00000246</t>
  </si>
  <si>
    <t>Gomez Aldonate Jose Daniel</t>
  </si>
  <si>
    <t>Honorarios prestacion medica ORL</t>
  </si>
  <si>
    <t>Insumos varios de electricidad para obra en construccion</t>
  </si>
  <si>
    <t>5003</t>
  </si>
  <si>
    <t>02618828</t>
  </si>
  <si>
    <t>Salta Refrescos SA</t>
  </si>
  <si>
    <t>Comida para el BAR</t>
  </si>
  <si>
    <t>00155009</t>
  </si>
  <si>
    <t>Exeni Juan Carlos</t>
  </si>
  <si>
    <t>Roberto Salinas e Hijos S.A.</t>
  </si>
  <si>
    <t>Suministro oxigeno P2024-09</t>
  </si>
  <si>
    <t>20240912</t>
  </si>
  <si>
    <t>Arreglo perdida termotanque, arreglos varios</t>
  </si>
  <si>
    <t>00023626</t>
  </si>
  <si>
    <t>Panadería Alpan SASU</t>
  </si>
  <si>
    <t>Do Nascimiento Lima Rafael</t>
  </si>
  <si>
    <t>00080018</t>
  </si>
  <si>
    <t xml:space="preserve">Insumos de limpieza </t>
  </si>
  <si>
    <t>N/C</t>
  </si>
  <si>
    <t>00068578</t>
  </si>
  <si>
    <t>Prestaciones gravadas</t>
  </si>
  <si>
    <t>00052902</t>
  </si>
  <si>
    <t>00052901</t>
  </si>
  <si>
    <t>00052898</t>
  </si>
  <si>
    <t>00052899</t>
  </si>
  <si>
    <t>00052897</t>
  </si>
  <si>
    <t>00188337</t>
  </si>
  <si>
    <t>Agua Mineral - COMIDA PARA BAR</t>
  </si>
  <si>
    <t>20240911</t>
  </si>
  <si>
    <t>Clinica Virgen de Urkupiña</t>
  </si>
  <si>
    <t>3/4 Cargas esterilizacion</t>
  </si>
  <si>
    <t>Guantes (falta remito)</t>
  </si>
  <si>
    <t>00005902</t>
  </si>
  <si>
    <t>00079839</t>
  </si>
  <si>
    <t>00079741</t>
  </si>
  <si>
    <t>00079551</t>
  </si>
  <si>
    <t>00079305</t>
  </si>
  <si>
    <t>00006383</t>
  </si>
  <si>
    <t>00006422</t>
  </si>
  <si>
    <t>00006389</t>
  </si>
  <si>
    <t>00006405</t>
  </si>
  <si>
    <t>01464696</t>
  </si>
  <si>
    <t>Suministro de luz mensual P2024-09 (Factura a nombre de CHAHLE)</t>
  </si>
  <si>
    <t>Previgliano Emanuel</t>
  </si>
  <si>
    <t>Honorarios Profesionales P2024-08 y P2024-09</t>
  </si>
  <si>
    <t>00000053</t>
  </si>
  <si>
    <t>Honorarios Profesionales P2024-06 y P2024-07</t>
  </si>
  <si>
    <t>Constructora 360 S.A.S.</t>
  </si>
  <si>
    <t>00001230</t>
  </si>
  <si>
    <t>00012831</t>
  </si>
  <si>
    <t>00052791</t>
  </si>
  <si>
    <t>Suministro oxigeno P2024-08</t>
  </si>
  <si>
    <t>Alquiler Uso Tubo y Termo Medicinal P2024-08</t>
  </si>
  <si>
    <t>00052746</t>
  </si>
  <si>
    <t>00052741</t>
  </si>
  <si>
    <t>00052737</t>
  </si>
  <si>
    <t>00052674</t>
  </si>
  <si>
    <t>00052645</t>
  </si>
  <si>
    <t>00052644</t>
  </si>
  <si>
    <t>00052643</t>
  </si>
  <si>
    <t>2024-07</t>
  </si>
  <si>
    <t>00052292</t>
  </si>
  <si>
    <t>Suministro oxigeno P2024-07</t>
  </si>
  <si>
    <t>00000650</t>
  </si>
  <si>
    <t>Número de Comprobante</t>
  </si>
  <si>
    <t>Exento</t>
  </si>
  <si>
    <t>00018401</t>
  </si>
  <si>
    <t>Granados Jesus Tadeo</t>
  </si>
  <si>
    <t>Articulos de ferreteria</t>
  </si>
  <si>
    <t>00000242</t>
  </si>
  <si>
    <t>00000814</t>
  </si>
  <si>
    <t>0040</t>
  </si>
  <si>
    <t>00005829</t>
  </si>
  <si>
    <t>Supermat Central S.A.S.</t>
  </si>
  <si>
    <t>Materiales para construcción</t>
  </si>
  <si>
    <t>00005866</t>
  </si>
  <si>
    <t>00003276</t>
  </si>
  <si>
    <t>Honorarios Médicos Piso P2024-08</t>
  </si>
  <si>
    <t>Honorarios Médicos Piso P2024-09</t>
  </si>
  <si>
    <t>00000222</t>
  </si>
  <si>
    <t>Honorarios Medicos Piso y UTI P2024-09</t>
  </si>
  <si>
    <t>Honorarios Guardias Medicas UTI P2024-09</t>
  </si>
  <si>
    <t>Honorarios Guardias Medicas Piso P2024-09</t>
  </si>
  <si>
    <t>Honorarios Medicos Piso P2024-08</t>
  </si>
  <si>
    <t>Honorarios Medicos Piso P2024-09</t>
  </si>
  <si>
    <t>Cano Francisco Fernando Nicolas</t>
  </si>
  <si>
    <t>Honorarios Medicos UTI P2024-08</t>
  </si>
  <si>
    <t>Honorarios Medicos UTI P2024-09</t>
  </si>
  <si>
    <t>00000045</t>
  </si>
  <si>
    <t>00000100</t>
  </si>
  <si>
    <t>Honorarios Medicos Guardias UTI P2024-08</t>
  </si>
  <si>
    <t>Honorarios Medicos Guardias UTI P2024-09</t>
  </si>
  <si>
    <t>00000019</t>
  </si>
  <si>
    <t>00000483</t>
  </si>
  <si>
    <t>Montero Jordan Nadia del Carmen</t>
  </si>
  <si>
    <t>00000063</t>
  </si>
  <si>
    <t>Flores Castedo Esteban Moises</t>
  </si>
  <si>
    <t>Sevorane 250 ml para farmacia</t>
  </si>
  <si>
    <t>00000012</t>
  </si>
  <si>
    <t>00000076</t>
  </si>
  <si>
    <t>Honorarios Mucama P2024-09</t>
  </si>
  <si>
    <t>Romeo Micaela Gianina</t>
  </si>
  <si>
    <t>Honorarios de Mucama UTI P2024-08</t>
  </si>
  <si>
    <t>Honorarios de Mucama UTI P2024-09</t>
  </si>
  <si>
    <t>00000057</t>
  </si>
  <si>
    <t>Servicio Mucama de quirofano P2024-09</t>
  </si>
  <si>
    <t>Servicio de instrumentación quirofano P2024-09 (Velazco Melisa)</t>
  </si>
  <si>
    <t>00000060</t>
  </si>
  <si>
    <t>Servicio Enfermeria Piso P2024-09 (Ivana Gonzales)</t>
  </si>
  <si>
    <t>Servicio Enfermeria Piso P2024-09</t>
  </si>
  <si>
    <t>00000059</t>
  </si>
  <si>
    <t>00000179</t>
  </si>
  <si>
    <t>Honorarios Servicio Enfermeria P2024-09</t>
  </si>
  <si>
    <t>00000051</t>
  </si>
  <si>
    <t>00000105</t>
  </si>
  <si>
    <t>Servicio Enfermeria P2024-09</t>
  </si>
  <si>
    <t>Moreyra Alfredo Balbino</t>
  </si>
  <si>
    <t>Servicios y ventas de Insumos medicos</t>
  </si>
  <si>
    <t>00000102</t>
  </si>
  <si>
    <t>00000160</t>
  </si>
  <si>
    <t>Anticipo 50% Fabricación Mesada para Cocina</t>
  </si>
  <si>
    <t>Terminación 50% Fabricación Mesada para Cocina</t>
  </si>
  <si>
    <t>00000223</t>
  </si>
  <si>
    <t>Honorarios Reemplazo Rayos</t>
  </si>
  <si>
    <t>Recetarios e imprenta</t>
  </si>
  <si>
    <t>Servicio Enfermeria UTI P2024-09</t>
  </si>
  <si>
    <t>00000085</t>
  </si>
  <si>
    <t>Servicio Enfermeria UTI P2024-09 (Arias Belen)</t>
  </si>
  <si>
    <t>Honorarios por servicios Piso P2024-09 (Aramayo Angelica)</t>
  </si>
  <si>
    <t>Anula FC 5 y 6</t>
  </si>
  <si>
    <t>Rios Fernanda Nahir</t>
  </si>
  <si>
    <t>Servicios de Quirofano, instrumentación P2024-09 (Guari Tania)</t>
  </si>
  <si>
    <t>00000023</t>
  </si>
  <si>
    <t>Servicios Radiología P2024-09</t>
  </si>
  <si>
    <t>Servicio de instrumentación quirofano P2024-09</t>
  </si>
  <si>
    <t>00000123</t>
  </si>
  <si>
    <t>Honorarios Profesionales P2024-09 (Lopez Natalia Marcela)</t>
  </si>
  <si>
    <t>Honorarios Guardias Medicas P2024-08 (Dr. Diaz Martinez)</t>
  </si>
  <si>
    <t>Honorarios Guardias Medicas P2024-09 (Dr. Diaz Martinez)</t>
  </si>
  <si>
    <t>Honorarios Enfermeria UTI P2024-08</t>
  </si>
  <si>
    <t>Honorarios Enfermeria UTI P2024-09</t>
  </si>
  <si>
    <t>00000024</t>
  </si>
  <si>
    <t>Anula FC 23 y 24</t>
  </si>
  <si>
    <t>00000003</t>
  </si>
  <si>
    <t>Choque Milagro Elizabeth</t>
  </si>
  <si>
    <t>Servicio Enfermeria Piso P2024-09 (Barrios Valeria Vanesa)</t>
  </si>
  <si>
    <t>00000122</t>
  </si>
  <si>
    <t>Sosa Gustavo Adolfo</t>
  </si>
  <si>
    <t>Reparación reguladores de oxigeno</t>
  </si>
  <si>
    <t>00000058</t>
  </si>
  <si>
    <t>TICKET N/C</t>
  </si>
  <si>
    <t>Anula FC 58</t>
  </si>
  <si>
    <t>00000084</t>
  </si>
  <si>
    <t>Anula FC 84</t>
  </si>
  <si>
    <t>00000018</t>
  </si>
  <si>
    <t>Anula FC 18</t>
  </si>
  <si>
    <t>00006459</t>
  </si>
  <si>
    <t>SERVICIOS MÉDICOS ESMERALDA SRL</t>
  </si>
  <si>
    <t>Alquiler mensual agosto 2024</t>
  </si>
  <si>
    <t>Alquiler mensual octubre 2024</t>
  </si>
  <si>
    <t>Honorarios Mucama (Rodriguez Balderrama Claudia) P2024-09</t>
  </si>
  <si>
    <t>Honorarios Mucama (Rodriguez Balderrama Claudia) P2024-08</t>
  </si>
  <si>
    <t>00000151</t>
  </si>
  <si>
    <t>Honorarios Medicos P2024-09</t>
  </si>
  <si>
    <t>00023878</t>
  </si>
  <si>
    <t>Bionuclear S.A.</t>
  </si>
  <si>
    <t>00023879</t>
  </si>
  <si>
    <t>00023880</t>
  </si>
  <si>
    <t>Viaticos personal tecnico</t>
  </si>
  <si>
    <t>Honorarios profesional tecnico para instalacion tomografo</t>
  </si>
  <si>
    <t>Gastos de envío tubo, tanque, kits de ruedas para tomografo</t>
  </si>
  <si>
    <t>Carrillos Luis Cesar Primitivo</t>
  </si>
  <si>
    <t>Auditoria ambiental</t>
  </si>
  <si>
    <t>00006473</t>
  </si>
  <si>
    <t>00001938</t>
  </si>
  <si>
    <t>00002150</t>
  </si>
  <si>
    <t>00000196</t>
  </si>
  <si>
    <t>Salutem S.R.L.</t>
  </si>
  <si>
    <t>Traslados en ambulancia</t>
  </si>
  <si>
    <t>Honorarios coordinación UTI y Piso Dr. Diaz Martinez</t>
  </si>
  <si>
    <t>00000134</t>
  </si>
  <si>
    <t>Diferencia de Cambio Cuota 3° Ecografo</t>
  </si>
  <si>
    <t>00002873</t>
  </si>
  <si>
    <t>Gasol S.R.L.</t>
  </si>
  <si>
    <t>Servicios médicos administrativos generales prestados P2024-09</t>
  </si>
  <si>
    <t>Servicios médicos administrativos generales prestados P2024-08</t>
  </si>
  <si>
    <t>00009315</t>
  </si>
  <si>
    <t>Covidex S.R.L.</t>
  </si>
  <si>
    <t>Insumos de limpieza</t>
  </si>
  <si>
    <t>00039855</t>
  </si>
  <si>
    <t>00006983</t>
  </si>
  <si>
    <t>Lavanderia P2024-09</t>
  </si>
  <si>
    <t>20241016</t>
  </si>
  <si>
    <t>Remis - Taxi</t>
  </si>
  <si>
    <t>00000700</t>
  </si>
  <si>
    <t>00014196</t>
  </si>
  <si>
    <t>00001830</t>
  </si>
  <si>
    <t>00013215</t>
  </si>
  <si>
    <t>00000180</t>
  </si>
  <si>
    <t>00070291</t>
  </si>
  <si>
    <t>Hubaide Sergio Ricardo</t>
  </si>
  <si>
    <t>Cuellar Marcos Gaston</t>
  </si>
  <si>
    <t>Pedido de quirofano</t>
  </si>
  <si>
    <t>0029</t>
  </si>
  <si>
    <t>00001737</t>
  </si>
  <si>
    <t>A cuenta</t>
  </si>
  <si>
    <t>Material para quirofano</t>
  </si>
  <si>
    <t>00001825</t>
  </si>
  <si>
    <t>00064102</t>
  </si>
  <si>
    <t>Carga de oxigeno comprimido</t>
  </si>
  <si>
    <t>Flores Hugo Alejandro</t>
  </si>
  <si>
    <t>Confeccion de silla de ruedas</t>
  </si>
  <si>
    <t>00052642</t>
  </si>
  <si>
    <t>00000120</t>
  </si>
  <si>
    <t>Acclimatare S.R.L.</t>
  </si>
  <si>
    <t>Compra e instalacion de aires acondicionados</t>
  </si>
  <si>
    <t>00006492</t>
  </si>
  <si>
    <t>00001743</t>
  </si>
  <si>
    <t>Delight S.R.L.</t>
  </si>
  <si>
    <t>Servicio de alimentación Julio 2024</t>
  </si>
  <si>
    <t>00001744</t>
  </si>
  <si>
    <t>Servicio de alimentación Agosto 2024</t>
  </si>
  <si>
    <t>00001745</t>
  </si>
  <si>
    <t>Servicio de alimentación Septiembre 2024</t>
  </si>
  <si>
    <t>00015775</t>
  </si>
  <si>
    <t>Lara Humberto Esteban</t>
  </si>
  <si>
    <t>00015780</t>
  </si>
  <si>
    <t>00015784</t>
  </si>
  <si>
    <t>00015793</t>
  </si>
  <si>
    <t>00015807</t>
  </si>
  <si>
    <t>Descartables - toallas</t>
  </si>
  <si>
    <t>00016179</t>
  </si>
  <si>
    <t>00028536</t>
  </si>
  <si>
    <t>00000436</t>
  </si>
  <si>
    <t>Retamozo Adrian Eduardo</t>
  </si>
  <si>
    <t>00013040</t>
  </si>
  <si>
    <t>Pharma Ligth S.R.L.</t>
  </si>
  <si>
    <t>02662569</t>
  </si>
  <si>
    <t>0008</t>
  </si>
  <si>
    <t>00028983</t>
  </si>
  <si>
    <t>00014137</t>
  </si>
  <si>
    <t>00013399</t>
  </si>
  <si>
    <t>00013537</t>
  </si>
  <si>
    <t>0083</t>
  </si>
  <si>
    <t>00001175</t>
  </si>
  <si>
    <t>CARATTONI FOCALIZADOS SRL</t>
  </si>
  <si>
    <t>00000540</t>
  </si>
  <si>
    <t>00000699</t>
  </si>
  <si>
    <t>00001108</t>
  </si>
  <si>
    <t>00000169</t>
  </si>
  <si>
    <t>0125</t>
  </si>
  <si>
    <t>20241023</t>
  </si>
  <si>
    <t>0077</t>
  </si>
  <si>
    <t>20241021</t>
  </si>
  <si>
    <t>CUELLAR RICARDO DAVID</t>
  </si>
  <si>
    <t>00000768</t>
  </si>
  <si>
    <t>Servicio Mantenimiento Sistema Freya P2024-10</t>
  </si>
  <si>
    <t>Informatica - cable</t>
  </si>
  <si>
    <t>00023889</t>
  </si>
  <si>
    <t>Gastos de envío tcu, starter neuviz16 y fusible</t>
  </si>
  <si>
    <t>00016269</t>
  </si>
  <si>
    <t>Materiales para obra en construccion</t>
  </si>
  <si>
    <t>Materiales para obra en construccion - Pres 1835603</t>
  </si>
  <si>
    <t>8197</t>
  </si>
  <si>
    <t>00007223</t>
  </si>
  <si>
    <t>Via Cargo S.A.</t>
  </si>
  <si>
    <t>00001824</t>
  </si>
  <si>
    <t>00000687</t>
  </si>
  <si>
    <t>00000166</t>
  </si>
  <si>
    <t>00016226</t>
  </si>
  <si>
    <t>00003329</t>
  </si>
  <si>
    <t>00039944</t>
  </si>
  <si>
    <t>00006094</t>
  </si>
  <si>
    <t>Mantenimiento Ascensor P2024-10</t>
  </si>
  <si>
    <t>00025512</t>
  </si>
  <si>
    <t>2024-11</t>
  </si>
  <si>
    <t>00006839</t>
  </si>
  <si>
    <t>00001144</t>
  </si>
  <si>
    <t>00069852</t>
  </si>
  <si>
    <t>Insumos varios de comida</t>
  </si>
  <si>
    <t>0009</t>
  </si>
  <si>
    <t>00008813</t>
  </si>
  <si>
    <t>Abdenur Hermanos S.R.L.</t>
  </si>
  <si>
    <t>Compra luces led</t>
  </si>
  <si>
    <t>0039</t>
  </si>
  <si>
    <t>00001596</t>
  </si>
  <si>
    <t>TUCUCOL SRL</t>
  </si>
  <si>
    <t xml:space="preserve">Cesto de basura </t>
  </si>
  <si>
    <t>00034885</t>
  </si>
  <si>
    <t>00001065</t>
  </si>
  <si>
    <t>Cucharas de plastico</t>
  </si>
  <si>
    <t>0031</t>
  </si>
  <si>
    <t>00000271</t>
  </si>
  <si>
    <t>MEALLA JUAN CARLOS</t>
  </si>
  <si>
    <t>0020</t>
  </si>
  <si>
    <t>00051738</t>
  </si>
  <si>
    <t>Insumos de oficina para impresora</t>
  </si>
  <si>
    <t>1463</t>
  </si>
  <si>
    <t>00212518</t>
  </si>
  <si>
    <t>CENCOSUD S.A.</t>
  </si>
  <si>
    <t>00006523</t>
  </si>
  <si>
    <t>EXENI LUIS ENRIQUE</t>
  </si>
  <si>
    <t>Mangueras</t>
  </si>
  <si>
    <t>00000153</t>
  </si>
  <si>
    <t>00001818</t>
  </si>
  <si>
    <t>00119410</t>
  </si>
  <si>
    <t>20240930</t>
  </si>
  <si>
    <t>20241025</t>
  </si>
  <si>
    <t>20241001</t>
  </si>
  <si>
    <t>00013797</t>
  </si>
  <si>
    <t>GONZALEZ RODRIGO JAVIER</t>
  </si>
  <si>
    <t>Insumos de electricidad</t>
  </si>
  <si>
    <t>00013796</t>
  </si>
  <si>
    <t>00001827</t>
  </si>
  <si>
    <t>00001844</t>
  </si>
  <si>
    <t>01703142</t>
  </si>
  <si>
    <t>D TAQI S.A.S.</t>
  </si>
  <si>
    <t>Descartables - bolsas de consorcio</t>
  </si>
  <si>
    <t>00000673</t>
  </si>
  <si>
    <t>00020437</t>
  </si>
  <si>
    <t>Pilas</t>
  </si>
  <si>
    <t>0114</t>
  </si>
  <si>
    <t>00001261</t>
  </si>
  <si>
    <t>SALTA PLAST POLIETILENOS S.R.L.</t>
  </si>
  <si>
    <t>00001835</t>
  </si>
  <si>
    <t>00001832</t>
  </si>
  <si>
    <t xml:space="preserve">Tubo hamburguesa </t>
  </si>
  <si>
    <t>LIBRERÍA LERMA SRL</t>
  </si>
  <si>
    <t>00006645</t>
  </si>
  <si>
    <t>00020669</t>
  </si>
  <si>
    <t>Pendrive</t>
  </si>
  <si>
    <t>0171</t>
  </si>
  <si>
    <t>GASNOR</t>
  </si>
  <si>
    <t>0165</t>
  </si>
  <si>
    <t>00055074</t>
  </si>
  <si>
    <t>Suministro de Gas (Factura a nombre de CHAHLE AMALIA ROSA)</t>
  </si>
  <si>
    <t>Telecom Argentina S.A.</t>
  </si>
  <si>
    <t>Suministro de telefonia (Factura a nombre de CHAHLE AMALIA ROSA)</t>
  </si>
  <si>
    <t>3950</t>
  </si>
  <si>
    <t>02569991</t>
  </si>
  <si>
    <t>Mouse y teclado para PC</t>
  </si>
  <si>
    <t>20241031</t>
  </si>
  <si>
    <t>Servicio de esterilización</t>
  </si>
  <si>
    <t>00047026</t>
  </si>
  <si>
    <t>MARTINA SRL</t>
  </si>
  <si>
    <t xml:space="preserve">Comida  </t>
  </si>
  <si>
    <t>00070222</t>
  </si>
  <si>
    <t>Gastos Sin Factura - bebidas</t>
  </si>
  <si>
    <t>00102680</t>
  </si>
  <si>
    <t>BUENA VIDA SRL</t>
  </si>
  <si>
    <t>Comida</t>
  </si>
  <si>
    <t>MDV Consultora</t>
  </si>
  <si>
    <t>Honorarios Julio 2024</t>
  </si>
  <si>
    <t>Honorarios Agosto 2024</t>
  </si>
  <si>
    <t>Honorarios Estudio Contable Septiembre 2024</t>
  </si>
  <si>
    <t>Honorarios Estudio Contable Octubre 2024</t>
  </si>
  <si>
    <t>00000256</t>
  </si>
  <si>
    <t>Cruz Blajos Alejandro Rodrigo</t>
  </si>
  <si>
    <t>Mantenimiento de ascensores P2024-09</t>
  </si>
  <si>
    <t>00000753</t>
  </si>
  <si>
    <t>Honorarios Profesionales - Derivaciones Pacientes Samec</t>
  </si>
  <si>
    <t>00000011</t>
  </si>
  <si>
    <t>00000266</t>
  </si>
  <si>
    <t>Mantenimiento de ascensores P2024-10</t>
  </si>
  <si>
    <t>Mantenimiento de ascensores P2024-08</t>
  </si>
  <si>
    <t>00000233</t>
  </si>
  <si>
    <t>Mantenimiento de ascensores P2024-07</t>
  </si>
  <si>
    <t>00000226</t>
  </si>
  <si>
    <t>Mantenimiento de ascensores P2024-06</t>
  </si>
  <si>
    <t>2024-05</t>
  </si>
  <si>
    <t>00000212</t>
  </si>
  <si>
    <t>Mantenimiento de ascensores P2024-04</t>
  </si>
  <si>
    <t>2024-04</t>
  </si>
  <si>
    <t>00000207</t>
  </si>
  <si>
    <t>Mantenimiento de ascensores P2024-03</t>
  </si>
  <si>
    <t>Servicios y ventas de Insumos medicos Agosto 2024</t>
  </si>
  <si>
    <t>Servicios y ventas de Insumos medicos Septiembre 2024</t>
  </si>
  <si>
    <t>00000599</t>
  </si>
  <si>
    <t>Drogueria Guamper SRL</t>
  </si>
  <si>
    <t>Insumos de Farmacia (solo se paga el 3% de la factura)</t>
  </si>
  <si>
    <t>00005449</t>
  </si>
  <si>
    <t>COMPILADO COMPROBANTES OCTUBRE 2024</t>
  </si>
  <si>
    <t>Servicio Enfermeria UTI P2024-09 (Facturacion a otra RS)</t>
  </si>
  <si>
    <t>Suministro oxigeno P2024-10</t>
  </si>
  <si>
    <t>00052997</t>
  </si>
  <si>
    <t>00052977</t>
  </si>
  <si>
    <t>Dioxido de carbono medicinal + flete</t>
  </si>
  <si>
    <t>00052973</t>
  </si>
  <si>
    <t>Alquiler Uso Tubo y Termo Medicinal P2024-10</t>
  </si>
  <si>
    <t>00001055</t>
  </si>
  <si>
    <t>Alvarez Gustavo Enrique</t>
  </si>
  <si>
    <t>Insumos para quirofano</t>
  </si>
  <si>
    <t>Confeccion de escalera marinera</t>
  </si>
  <si>
    <t>Parcial</t>
  </si>
  <si>
    <t>00002338</t>
  </si>
  <si>
    <t>Suministro mensual oxigeno P2024-10</t>
  </si>
  <si>
    <t>00000298</t>
  </si>
  <si>
    <t>Honorarios Dirección Obra P2024-10</t>
  </si>
  <si>
    <t>00000947</t>
  </si>
  <si>
    <t>Aramayo Mirta Blanca</t>
  </si>
  <si>
    <t>Escalera N° 5</t>
  </si>
  <si>
    <t>00006544</t>
  </si>
  <si>
    <t>00006543</t>
  </si>
  <si>
    <t>COMPOSICIÓN PROVEEDORES NOVIEMBRE 2024</t>
  </si>
  <si>
    <t>00007050</t>
  </si>
  <si>
    <t>Lavanderia P2024-10</t>
  </si>
  <si>
    <t>00000392</t>
  </si>
  <si>
    <t>Osasun SRL</t>
  </si>
  <si>
    <t>Guante de polietileno</t>
  </si>
  <si>
    <t>00000735</t>
  </si>
  <si>
    <t>00053863</t>
  </si>
  <si>
    <t>20241102</t>
  </si>
  <si>
    <t>01480246</t>
  </si>
  <si>
    <t>Suministro de luz mensual P2024-10 (Factura a nombre de CHAHLE)</t>
  </si>
  <si>
    <t>00003389</t>
  </si>
  <si>
    <t>00006567</t>
  </si>
  <si>
    <t>00019246</t>
  </si>
  <si>
    <t>00052852</t>
  </si>
  <si>
    <t>00052896</t>
  </si>
  <si>
    <t>Alquiler Uso Tubo y Termo Medicinal P2024-09</t>
  </si>
  <si>
    <t>2024-06</t>
  </si>
  <si>
    <t>00001516</t>
  </si>
  <si>
    <t>Saldo Acumulado</t>
  </si>
  <si>
    <t>SALDO PENDIENTE</t>
  </si>
  <si>
    <t>Pagos realizados</t>
  </si>
  <si>
    <t>Servicio Recoleccion Residuos Patogenos P2024-08</t>
  </si>
  <si>
    <t>Servicio Recoleccion Residuos Patogenos P2024-09</t>
  </si>
  <si>
    <t>Servicio Recoleccion Residuos Patogenos P2024-10</t>
  </si>
  <si>
    <t>00024134</t>
  </si>
  <si>
    <t>00054349</t>
  </si>
  <si>
    <t>20241111</t>
  </si>
  <si>
    <t>Soporte Sistema Informatico P2024-10</t>
  </si>
  <si>
    <t>Suministro de agua P2024-11</t>
  </si>
  <si>
    <t>00023172</t>
  </si>
  <si>
    <t>00000109</t>
  </si>
  <si>
    <t>Reparacion de electobisturi y conexiones internas placa de retorno</t>
  </si>
  <si>
    <t>00003004</t>
  </si>
  <si>
    <t>00002882</t>
  </si>
  <si>
    <t>00158855</t>
  </si>
  <si>
    <t>Tipo de Cambio</t>
  </si>
  <si>
    <t>Alquiler digitalizador Agosto 2024</t>
  </si>
  <si>
    <t>Alquiler digitalizador Septiembre 2024</t>
  </si>
  <si>
    <t>Honorarios Enfermeria UTI P2024-10</t>
  </si>
  <si>
    <t>00000025</t>
  </si>
  <si>
    <t>Servicio Enfermeria UTI P2024-10 (Arias Belen)</t>
  </si>
  <si>
    <t>Honorarios por servicios Piso P2024-10 (Aramayo Angelica)</t>
  </si>
  <si>
    <t>Honorarios Medicos Guardias UTI P2024-10</t>
  </si>
  <si>
    <t>00000230</t>
  </si>
  <si>
    <t>Honorarios Medicos UTI P2024-10</t>
  </si>
  <si>
    <t>Honorarios Guardias Medicas UTI P2024-10</t>
  </si>
  <si>
    <t>00000049</t>
  </si>
  <si>
    <t>00000494</t>
  </si>
  <si>
    <t>Honorarios Médicos Piso P2024-10</t>
  </si>
  <si>
    <t>Honorarios Medicos Piso P2024-10</t>
  </si>
  <si>
    <t>00000038</t>
  </si>
  <si>
    <t>Honorarios Guardias Medicas Piso P2024-10</t>
  </si>
  <si>
    <t>00000103</t>
  </si>
  <si>
    <t>Insumos de pintureria - latex para 3º piso</t>
  </si>
  <si>
    <t>00001305</t>
  </si>
  <si>
    <t>Servicio Enfermeria UTI P2024-10</t>
  </si>
  <si>
    <t>00000106</t>
  </si>
  <si>
    <t>Guaymas Andres de las Mercedes</t>
  </si>
  <si>
    <t>Servicio Enfermeria Piso P2024-10</t>
  </si>
  <si>
    <t>00000052</t>
  </si>
  <si>
    <t>Honorarios Servicio Enfermeria P2024-10</t>
  </si>
  <si>
    <t>Farfan Nilda Soledad</t>
  </si>
  <si>
    <t>Servicios de Esterilizacion P2024-10</t>
  </si>
  <si>
    <t>Servicio de instrumentación quirofano P2024-10 (Velazco Melisa)</t>
  </si>
  <si>
    <t>Servicios de Quirofano, instrumentación P2024-10 (Guari Tania)</t>
  </si>
  <si>
    <t>Honorarios Mucama (Rodriguez Balderrama Claudia) P2024-10</t>
  </si>
  <si>
    <t>00000079</t>
  </si>
  <si>
    <t>Honorarios Mucama P2024-10</t>
  </si>
  <si>
    <t>00000016</t>
  </si>
  <si>
    <t>Honorarios de Mucama UTI P2024-10</t>
  </si>
  <si>
    <t>Servicio Mucama de quirofano P2024-10</t>
  </si>
  <si>
    <t>00000061</t>
  </si>
  <si>
    <t>Servicio Enfermeria Piso P2024-10 (Ivana Gonzales)</t>
  </si>
  <si>
    <t>00000062</t>
  </si>
  <si>
    <t>Honorarios Medicos P2024-10</t>
  </si>
  <si>
    <t>00000086</t>
  </si>
  <si>
    <t>00006598</t>
  </si>
  <si>
    <t>Servicio de instrumentación quirofano P2024-10</t>
  </si>
  <si>
    <t>00000190</t>
  </si>
  <si>
    <t>Zacharias Arb Fernando Jose</t>
  </si>
  <si>
    <t>Honorarios Medicos 9 ordenes de IPS</t>
  </si>
  <si>
    <t>00000087</t>
  </si>
  <si>
    <t>Servicio Enfermeria UTI P2024-10 (Cynthia Guzman)</t>
  </si>
  <si>
    <t>Honorarios Profesionales P2024-10 (Lopez Natalia Marcela)</t>
  </si>
  <si>
    <t>00000125</t>
  </si>
  <si>
    <t>Servicios Radiología P2024-10</t>
  </si>
  <si>
    <t>00000786</t>
  </si>
  <si>
    <t>Servicio Mantenimiento Sistema Freya P2024-11</t>
  </si>
  <si>
    <t>Honorarios Coordinación UTI y Piso Dr. Diaz Martinez</t>
  </si>
  <si>
    <t>00000856</t>
  </si>
  <si>
    <t>00000445</t>
  </si>
  <si>
    <t>Insumos de farmacia</t>
  </si>
  <si>
    <t>00000477</t>
  </si>
  <si>
    <t>00000446</t>
  </si>
  <si>
    <t>00000443</t>
  </si>
  <si>
    <t>00000444</t>
  </si>
  <si>
    <t>00004332</t>
  </si>
  <si>
    <t>Perri Mario Santos</t>
  </si>
  <si>
    <t>Gastos varios de farmacia</t>
  </si>
  <si>
    <t>00000042</t>
  </si>
  <si>
    <t>00000854</t>
  </si>
  <si>
    <t>00006386</t>
  </si>
  <si>
    <t>00006242</t>
  </si>
  <si>
    <t>00008072</t>
  </si>
  <si>
    <t>SALUZZI MARIANELLA</t>
  </si>
  <si>
    <t>OXIGENO</t>
  </si>
  <si>
    <t>00116299</t>
  </si>
  <si>
    <t>DROGUERIA CAPDEVILA SRL</t>
  </si>
  <si>
    <t>00005485</t>
  </si>
  <si>
    <t>MEDICINA INTEGRAL FENIX SRL</t>
  </si>
  <si>
    <t>CH al dia y 30</t>
  </si>
  <si>
    <t>Columna1</t>
  </si>
  <si>
    <t>Zelarayan Carlos Ricardo USD</t>
  </si>
  <si>
    <t>00003227</t>
  </si>
  <si>
    <t>00000270</t>
  </si>
  <si>
    <t>02691671</t>
  </si>
  <si>
    <t>CH 0, 30, 60</t>
  </si>
  <si>
    <t>00000199</t>
  </si>
  <si>
    <t>FAILA SRL</t>
  </si>
  <si>
    <t>ANULADA - HACER NC (REFACTURADA CON SALUTEM FC 199)</t>
  </si>
  <si>
    <t>00003314</t>
  </si>
  <si>
    <r>
      <t xml:space="preserve">Insumos de Farmacia </t>
    </r>
    <r>
      <rPr>
        <b/>
        <sz val="10"/>
        <color rgb="FFFF0000"/>
        <rFont val="Calibri"/>
        <family val="2"/>
        <scheme val="minor"/>
      </rPr>
      <t>(solo se paga el 3% de la factura)</t>
    </r>
  </si>
  <si>
    <r>
      <t xml:space="preserve">Zelarayan Carlos Ricardo </t>
    </r>
    <r>
      <rPr>
        <b/>
        <sz val="10"/>
        <color theme="9" tint="-0.249977111117893"/>
        <rFont val="Calibri"/>
        <family val="2"/>
        <scheme val="minor"/>
      </rPr>
      <t>USD</t>
    </r>
  </si>
  <si>
    <t>CH 30 y 60</t>
  </si>
  <si>
    <t>monto mal liquidado (VER PAGOS CON RET)</t>
  </si>
  <si>
    <t>00162160</t>
  </si>
  <si>
    <t>2024-12</t>
  </si>
  <si>
    <t>00000858</t>
  </si>
  <si>
    <t>Soporte Sistema Informatico P2024-11</t>
  </si>
  <si>
    <t>00000555</t>
  </si>
  <si>
    <t>Ministerio de la salud publica de la provincia de salta</t>
  </si>
  <si>
    <t>Habilitacion Tomografo</t>
  </si>
  <si>
    <t>00000762</t>
  </si>
  <si>
    <t>00044585</t>
  </si>
  <si>
    <t>MKS SRL</t>
  </si>
  <si>
    <t>dosimetros</t>
  </si>
  <si>
    <t>Facha Vto FC</t>
  </si>
  <si>
    <t>observaciones</t>
  </si>
  <si>
    <t>00023589</t>
  </si>
  <si>
    <t>Suministro de agua P2024-12</t>
  </si>
  <si>
    <t>00006672</t>
  </si>
  <si>
    <t>cta cte</t>
  </si>
  <si>
    <t>vencida</t>
  </si>
  <si>
    <t>CH 9/1 y 9/2</t>
  </si>
  <si>
    <t>00002443</t>
  </si>
  <si>
    <t>Suministro mensual oxigeno P2024-11</t>
  </si>
  <si>
    <t>Honorarios Estudio Contable Noviembre 2024</t>
  </si>
  <si>
    <t>00000533</t>
  </si>
  <si>
    <t>VILLARROEL DAVID FEDERICO</t>
  </si>
  <si>
    <t>HONORARIOS MEDICOS EN IMÁGENES</t>
  </si>
  <si>
    <t>00006699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</si>
</sst>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dd/mm/yyyy;@"/>
    <numFmt numFmtId="166" formatCode="d/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59999389629810485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64" fontId="4" fillId="0" borderId="0" xfId="1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1" applyFon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Fill="1"/>
    <xf numFmtId="164" fontId="3" fillId="0" borderId="0" xfId="1" applyFont="1" applyFill="1"/>
    <xf numFmtId="0" fontId="8" fillId="0" borderId="0" xfId="0" applyFont="1" applyFill="1"/>
    <xf numFmtId="164" fontId="5" fillId="2" borderId="1" xfId="1" applyFont="1" applyFill="1" applyBorder="1" applyAlignment="1">
      <alignment horizontal="center" vertical="center" wrapText="1"/>
    </xf>
    <xf numFmtId="4" fontId="3" fillId="0" borderId="0" xfId="0" applyNumberFormat="1" applyFont="1"/>
    <xf numFmtId="0" fontId="3" fillId="0" borderId="0" xfId="0" pivotButton="1" applyFont="1"/>
    <xf numFmtId="0" fontId="3" fillId="0" borderId="0" xfId="0" applyFont="1" applyAlignment="1">
      <alignment horizontal="left"/>
    </xf>
    <xf numFmtId="0" fontId="4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quotePrefix="1" applyFont="1" applyAlignment="1">
      <alignment horizontal="center"/>
    </xf>
    <xf numFmtId="0" fontId="8" fillId="0" borderId="0" xfId="0" applyFont="1"/>
    <xf numFmtId="164" fontId="8" fillId="0" borderId="0" xfId="1" applyFont="1"/>
    <xf numFmtId="164" fontId="3" fillId="0" borderId="0" xfId="1" applyFont="1" applyBorder="1"/>
    <xf numFmtId="164" fontId="4" fillId="3" borderId="0" xfId="1" applyFont="1" applyFill="1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/>
    <xf numFmtId="164" fontId="9" fillId="0" borderId="0" xfId="1" applyFont="1"/>
    <xf numFmtId="164" fontId="3" fillId="4" borderId="0" xfId="1" applyFont="1" applyFill="1"/>
    <xf numFmtId="164" fontId="2" fillId="0" borderId="0" xfId="1" applyFont="1"/>
    <xf numFmtId="164" fontId="9" fillId="4" borderId="0" xfId="1" applyFont="1" applyFill="1"/>
    <xf numFmtId="0" fontId="9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/>
    <xf numFmtId="164" fontId="10" fillId="0" borderId="0" xfId="1" applyFont="1"/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1" fillId="0" borderId="0" xfId="0" quotePrefix="1" applyFont="1" applyAlignment="1">
      <alignment horizontal="center"/>
    </xf>
    <xf numFmtId="0" fontId="11" fillId="0" borderId="0" xfId="0" applyFont="1"/>
    <xf numFmtId="164" fontId="11" fillId="0" borderId="0" xfId="1" applyFont="1"/>
    <xf numFmtId="0" fontId="10" fillId="0" borderId="0" xfId="0" quotePrefix="1" applyFont="1" applyAlignment="1">
      <alignment horizontal="center"/>
    </xf>
    <xf numFmtId="164" fontId="2" fillId="0" borderId="0" xfId="1" applyFont="1" applyAlignment="1">
      <alignment horizontal="left"/>
    </xf>
    <xf numFmtId="164" fontId="4" fillId="0" borderId="0" xfId="1" applyFont="1" applyAlignment="1">
      <alignment horizontal="left"/>
    </xf>
    <xf numFmtId="164" fontId="3" fillId="0" borderId="0" xfId="1" applyFont="1" applyFill="1" applyAlignment="1">
      <alignment horizontal="left"/>
    </xf>
    <xf numFmtId="164" fontId="3" fillId="0" borderId="0" xfId="1" applyFont="1" applyAlignment="1">
      <alignment horizontal="left"/>
    </xf>
    <xf numFmtId="164" fontId="10" fillId="4" borderId="0" xfId="1" applyFont="1" applyFill="1"/>
    <xf numFmtId="164" fontId="10" fillId="0" borderId="0" xfId="1" applyFont="1" applyAlignment="1">
      <alignment horizontal="left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5" fillId="2" borderId="1" xfId="1" applyNumberFormat="1" applyFont="1" applyFill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quotePrefix="1" applyFont="1" applyAlignment="1">
      <alignment horizontal="center"/>
    </xf>
    <xf numFmtId="0" fontId="12" fillId="0" borderId="0" xfId="0" applyFont="1"/>
    <xf numFmtId="164" fontId="12" fillId="0" borderId="0" xfId="1" applyFont="1"/>
    <xf numFmtId="164" fontId="12" fillId="4" borderId="0" xfId="1" applyFont="1" applyFill="1"/>
    <xf numFmtId="0" fontId="3" fillId="0" borderId="0" xfId="0" applyFont="1" applyFill="1" applyAlignment="1">
      <alignment horizontal="left"/>
    </xf>
    <xf numFmtId="0" fontId="13" fillId="0" borderId="0" xfId="0" applyFont="1" applyAlignment="1">
      <alignment horizontal="center"/>
    </xf>
    <xf numFmtId="165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quotePrefix="1" applyFont="1" applyAlignment="1">
      <alignment horizontal="center"/>
    </xf>
    <xf numFmtId="0" fontId="13" fillId="0" borderId="0" xfId="0" applyFont="1"/>
    <xf numFmtId="164" fontId="13" fillId="0" borderId="0" xfId="1" applyFont="1"/>
    <xf numFmtId="164" fontId="13" fillId="0" borderId="0" xfId="1" applyFont="1" applyAlignment="1">
      <alignment horizontal="left"/>
    </xf>
    <xf numFmtId="164" fontId="13" fillId="4" borderId="0" xfId="1" applyFont="1" applyFill="1"/>
    <xf numFmtId="164" fontId="8" fillId="4" borderId="0" xfId="1" applyFont="1" applyFill="1"/>
    <xf numFmtId="164" fontId="3" fillId="4" borderId="0" xfId="1" applyFont="1" applyFill="1" applyBorder="1"/>
    <xf numFmtId="0" fontId="3" fillId="0" borderId="0" xfId="0" pivotButton="1" applyFont="1" applyAlignment="1">
      <alignment vertical="center"/>
    </xf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0" xfId="0" applyFont="1"/>
    <xf numFmtId="164" fontId="14" fillId="0" borderId="0" xfId="1" applyFont="1"/>
    <xf numFmtId="164" fontId="14" fillId="0" borderId="0" xfId="1" applyFont="1" applyAlignment="1">
      <alignment horizontal="left"/>
    </xf>
    <xf numFmtId="164" fontId="14" fillId="4" borderId="0" xfId="1" applyFont="1" applyFill="1"/>
    <xf numFmtId="0" fontId="14" fillId="0" borderId="0" xfId="0" quotePrefix="1" applyFont="1" applyAlignment="1">
      <alignment horizontal="center"/>
    </xf>
    <xf numFmtId="164" fontId="3" fillId="5" borderId="0" xfId="1" applyFont="1" applyFill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5" fillId="0" borderId="0" xfId="0" applyFont="1"/>
    <xf numFmtId="164" fontId="15" fillId="0" borderId="0" xfId="1" applyFont="1"/>
    <xf numFmtId="164" fontId="15" fillId="0" borderId="0" xfId="1" applyFont="1" applyAlignment="1">
      <alignment horizontal="left"/>
    </xf>
    <xf numFmtId="164" fontId="15" fillId="4" borderId="0" xfId="1" applyFont="1" applyFill="1"/>
    <xf numFmtId="14" fontId="15" fillId="0" borderId="0" xfId="0" applyNumberFormat="1" applyFont="1" applyAlignment="1">
      <alignment horizontal="center"/>
    </xf>
    <xf numFmtId="0" fontId="15" fillId="0" borderId="0" xfId="0" quotePrefix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0" borderId="0" xfId="0" quotePrefix="1" applyFont="1" applyAlignment="1">
      <alignment horizontal="center"/>
    </xf>
    <xf numFmtId="0" fontId="16" fillId="0" borderId="0" xfId="0" applyFont="1"/>
    <xf numFmtId="164" fontId="16" fillId="0" borderId="0" xfId="1" applyFont="1"/>
    <xf numFmtId="164" fontId="16" fillId="0" borderId="0" xfId="1" applyFont="1" applyAlignment="1">
      <alignment horizontal="left"/>
    </xf>
    <xf numFmtId="0" fontId="17" fillId="0" borderId="0" xfId="0" applyFont="1" applyAlignment="1">
      <alignment horizontal="center"/>
    </xf>
    <xf numFmtId="165" fontId="17" fillId="0" borderId="0" xfId="0" applyNumberFormat="1" applyFont="1" applyAlignment="1">
      <alignment horizontal="center"/>
    </xf>
    <xf numFmtId="0" fontId="17" fillId="0" borderId="0" xfId="0" applyFont="1"/>
    <xf numFmtId="164" fontId="17" fillId="0" borderId="0" xfId="1" applyFont="1"/>
    <xf numFmtId="165" fontId="4" fillId="0" borderId="0" xfId="1" applyNumberFormat="1" applyFont="1" applyAlignment="1">
      <alignment horizontal="center"/>
    </xf>
    <xf numFmtId="165" fontId="10" fillId="0" borderId="0" xfId="1" applyNumberFormat="1" applyFont="1" applyFill="1" applyAlignment="1">
      <alignment horizontal="center"/>
    </xf>
    <xf numFmtId="165" fontId="14" fillId="0" borderId="0" xfId="1" applyNumberFormat="1" applyFont="1" applyFill="1" applyAlignment="1">
      <alignment horizontal="center"/>
    </xf>
    <xf numFmtId="165" fontId="3" fillId="0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11" fillId="0" borderId="0" xfId="1" applyNumberFormat="1" applyFont="1" applyFill="1" applyAlignment="1">
      <alignment horizontal="center"/>
    </xf>
    <xf numFmtId="165" fontId="9" fillId="0" borderId="0" xfId="1" applyNumberFormat="1" applyFont="1" applyFill="1" applyAlignment="1">
      <alignment horizontal="center"/>
    </xf>
    <xf numFmtId="165" fontId="15" fillId="0" borderId="0" xfId="1" applyNumberFormat="1" applyFont="1" applyFill="1" applyAlignment="1">
      <alignment horizontal="center"/>
    </xf>
    <xf numFmtId="165" fontId="13" fillId="0" borderId="0" xfId="1" applyNumberFormat="1" applyFont="1" applyFill="1" applyAlignment="1">
      <alignment horizontal="center"/>
    </xf>
    <xf numFmtId="165" fontId="12" fillId="0" borderId="0" xfId="1" applyNumberFormat="1" applyFont="1" applyFill="1" applyAlignment="1">
      <alignment horizontal="center"/>
    </xf>
    <xf numFmtId="165" fontId="16" fillId="0" borderId="0" xfId="1" applyNumberFormat="1" applyFont="1" applyFill="1" applyAlignment="1">
      <alignment horizontal="center"/>
    </xf>
    <xf numFmtId="165" fontId="17" fillId="0" borderId="0" xfId="1" applyNumberFormat="1" applyFont="1" applyFill="1" applyAlignment="1">
      <alignment horizontal="center"/>
    </xf>
    <xf numFmtId="14" fontId="17" fillId="0" borderId="0" xfId="0" applyNumberFormat="1" applyFont="1" applyAlignment="1">
      <alignment horizontal="center"/>
    </xf>
    <xf numFmtId="164" fontId="17" fillId="0" borderId="0" xfId="1" applyFont="1" applyAlignment="1">
      <alignment horizontal="left"/>
    </xf>
    <xf numFmtId="164" fontId="17" fillId="4" borderId="0" xfId="1" applyFont="1" applyFill="1"/>
    <xf numFmtId="0" fontId="17" fillId="0" borderId="0" xfId="0" quotePrefix="1" applyFont="1" applyAlignment="1">
      <alignment horizontal="center"/>
    </xf>
    <xf numFmtId="165" fontId="0" fillId="0" borderId="0" xfId="0" applyNumberFormat="1"/>
    <xf numFmtId="164" fontId="0" fillId="0" borderId="0" xfId="1" applyFon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8" fillId="0" borderId="0" xfId="0" applyFont="1"/>
    <xf numFmtId="164" fontId="18" fillId="0" borderId="0" xfId="1" applyFont="1"/>
    <xf numFmtId="165" fontId="18" fillId="0" borderId="0" xfId="0" applyNumberFormat="1" applyFont="1"/>
    <xf numFmtId="0" fontId="3" fillId="6" borderId="4" xfId="0" applyFont="1" applyFill="1" applyBorder="1" applyAlignment="1">
      <alignment horizontal="center"/>
    </xf>
    <xf numFmtId="165" fontId="3" fillId="6" borderId="4" xfId="0" applyNumberFormat="1" applyFont="1" applyFill="1" applyBorder="1" applyAlignment="1">
      <alignment horizontal="center"/>
    </xf>
    <xf numFmtId="14" fontId="3" fillId="6" borderId="4" xfId="0" applyNumberFormat="1" applyFont="1" applyFill="1" applyBorder="1" applyAlignment="1">
      <alignment horizontal="center"/>
    </xf>
    <xf numFmtId="0" fontId="3" fillId="6" borderId="4" xfId="0" applyFont="1" applyFill="1" applyBorder="1"/>
    <xf numFmtId="164" fontId="3" fillId="6" borderId="4" xfId="1" applyNumberFormat="1" applyFont="1" applyFill="1" applyBorder="1"/>
    <xf numFmtId="0" fontId="3" fillId="7" borderId="7" xfId="0" applyFont="1" applyFill="1" applyBorder="1" applyAlignment="1">
      <alignment horizontal="center"/>
    </xf>
    <xf numFmtId="165" fontId="3" fillId="7" borderId="4" xfId="0" applyNumberFormat="1" applyFont="1" applyFill="1" applyBorder="1" applyAlignment="1">
      <alignment horizontal="center"/>
    </xf>
    <xf numFmtId="14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4" xfId="0" applyFont="1" applyFill="1" applyBorder="1"/>
    <xf numFmtId="164" fontId="3" fillId="7" borderId="4" xfId="1" applyNumberFormat="1" applyFont="1" applyFill="1" applyBorder="1"/>
    <xf numFmtId="0" fontId="3" fillId="6" borderId="7" xfId="0" applyFont="1" applyFill="1" applyBorder="1" applyAlignment="1">
      <alignment horizontal="center"/>
    </xf>
    <xf numFmtId="165" fontId="3" fillId="6" borderId="4" xfId="1" applyNumberFormat="1" applyFont="1" applyFill="1" applyBorder="1" applyAlignment="1">
      <alignment horizontal="center"/>
    </xf>
    <xf numFmtId="165" fontId="3" fillId="7" borderId="4" xfId="1" applyNumberFormat="1" applyFont="1" applyFill="1" applyBorder="1" applyAlignment="1">
      <alignment horizontal="center"/>
    </xf>
    <xf numFmtId="164" fontId="3" fillId="6" borderId="6" xfId="1" applyNumberFormat="1" applyFont="1" applyFill="1" applyBorder="1"/>
    <xf numFmtId="165" fontId="3" fillId="6" borderId="6" xfId="1" applyNumberFormat="1" applyFont="1" applyFill="1" applyBorder="1" applyAlignment="1">
      <alignment horizontal="center"/>
    </xf>
    <xf numFmtId="0" fontId="3" fillId="6" borderId="6" xfId="0" applyFont="1" applyFill="1" applyBorder="1"/>
    <xf numFmtId="0" fontId="3" fillId="6" borderId="5" xfId="0" applyFont="1" applyFill="1" applyBorder="1" applyAlignment="1">
      <alignment horizontal="center"/>
    </xf>
    <xf numFmtId="165" fontId="3" fillId="6" borderId="6" xfId="0" applyNumberFormat="1" applyFont="1" applyFill="1" applyBorder="1" applyAlignment="1">
      <alignment horizontal="center"/>
    </xf>
    <xf numFmtId="14" fontId="3" fillId="6" borderId="6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164" fontId="3" fillId="6" borderId="6" xfId="1" applyNumberFormat="1" applyFont="1" applyFill="1" applyBorder="1" applyAlignment="1">
      <alignment horizontal="left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5" fillId="2" borderId="2" xfId="1" applyNumberFormat="1" applyFont="1" applyFill="1" applyBorder="1" applyAlignment="1">
      <alignment horizontal="center" vertical="center" wrapText="1"/>
    </xf>
    <xf numFmtId="165" fontId="5" fillId="2" borderId="3" xfId="1" applyNumberFormat="1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3" fillId="7" borderId="4" xfId="0" quotePrefix="1" applyFont="1" applyFill="1" applyBorder="1" applyAlignment="1">
      <alignment horizontal="center"/>
    </xf>
    <xf numFmtId="0" fontId="3" fillId="6" borderId="4" xfId="0" quotePrefix="1" applyFont="1" applyFill="1" applyBorder="1" applyAlignment="1">
      <alignment horizontal="center"/>
    </xf>
    <xf numFmtId="0" fontId="3" fillId="6" borderId="6" xfId="0" quotePrefix="1" applyFont="1" applyFill="1" applyBorder="1" applyAlignment="1">
      <alignment horizontal="center"/>
    </xf>
    <xf numFmtId="164" fontId="3" fillId="7" borderId="8" xfId="1" applyNumberFormat="1" applyFont="1" applyFill="1" applyBorder="1"/>
    <xf numFmtId="164" fontId="3" fillId="6" borderId="8" xfId="1" applyNumberFormat="1" applyFont="1" applyFill="1" applyBorder="1"/>
    <xf numFmtId="164" fontId="0" fillId="0" borderId="0" xfId="0" applyNumberFormat="1"/>
    <xf numFmtId="164" fontId="4" fillId="7" borderId="9" xfId="1" applyNumberFormat="1" applyFont="1" applyFill="1" applyBorder="1" applyAlignment="1">
      <alignment horizontal="right"/>
    </xf>
    <xf numFmtId="164" fontId="20" fillId="3" borderId="10" xfId="0" applyNumberFormat="1" applyFont="1" applyFill="1" applyBorder="1"/>
    <xf numFmtId="164" fontId="3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21" fillId="0" borderId="0" xfId="0" applyFont="1" applyAlignment="1">
      <alignment horizontal="center"/>
    </xf>
    <xf numFmtId="165" fontId="21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quotePrefix="1" applyFont="1" applyAlignment="1">
      <alignment horizontal="center"/>
    </xf>
    <xf numFmtId="0" fontId="21" fillId="0" borderId="0" xfId="0" applyFont="1"/>
    <xf numFmtId="164" fontId="21" fillId="0" borderId="0" xfId="1" applyFont="1" applyAlignment="1">
      <alignment horizontal="center"/>
    </xf>
    <xf numFmtId="164" fontId="21" fillId="0" borderId="0" xfId="1" applyFont="1"/>
    <xf numFmtId="164" fontId="21" fillId="0" borderId="0" xfId="1" applyFont="1" applyAlignment="1">
      <alignment horizontal="left"/>
    </xf>
    <xf numFmtId="165" fontId="21" fillId="0" borderId="0" xfId="1" applyNumberFormat="1" applyFont="1" applyFill="1" applyAlignment="1">
      <alignment horizontal="center"/>
    </xf>
    <xf numFmtId="164" fontId="21" fillId="4" borderId="0" xfId="1" applyFont="1" applyFill="1"/>
    <xf numFmtId="164" fontId="9" fillId="0" borderId="0" xfId="1" applyFont="1" applyFill="1"/>
    <xf numFmtId="0" fontId="22" fillId="0" borderId="0" xfId="0" applyFont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Font="1"/>
    <xf numFmtId="164" fontId="22" fillId="0" borderId="0" xfId="1" applyFont="1" applyAlignment="1">
      <alignment horizontal="center"/>
    </xf>
    <xf numFmtId="164" fontId="22" fillId="0" borderId="0" xfId="1" applyFont="1"/>
    <xf numFmtId="164" fontId="22" fillId="0" borderId="0" xfId="1" applyFont="1" applyAlignment="1">
      <alignment horizontal="left"/>
    </xf>
    <xf numFmtId="165" fontId="22" fillId="0" borderId="0" xfId="1" applyNumberFormat="1" applyFont="1" applyFill="1" applyAlignment="1">
      <alignment horizontal="center"/>
    </xf>
    <xf numFmtId="0" fontId="3" fillId="7" borderId="6" xfId="0" applyFont="1" applyFill="1" applyBorder="1" applyAlignment="1">
      <alignment horizontal="center"/>
    </xf>
    <xf numFmtId="164" fontId="3" fillId="7" borderId="6" xfId="1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165" fontId="3" fillId="7" borderId="6" xfId="0" applyNumberFormat="1" applyFont="1" applyFill="1" applyBorder="1" applyAlignment="1">
      <alignment horizontal="center"/>
    </xf>
    <xf numFmtId="14" fontId="3" fillId="7" borderId="6" xfId="0" applyNumberFormat="1" applyFont="1" applyFill="1" applyBorder="1" applyAlignment="1">
      <alignment horizontal="center"/>
    </xf>
    <xf numFmtId="0" fontId="3" fillId="7" borderId="6" xfId="0" applyFont="1" applyFill="1" applyBorder="1"/>
    <xf numFmtId="0" fontId="3" fillId="7" borderId="6" xfId="0" quotePrefix="1" applyFont="1" applyFill="1" applyBorder="1" applyAlignment="1">
      <alignment horizontal="center"/>
    </xf>
    <xf numFmtId="0" fontId="22" fillId="7" borderId="5" xfId="0" applyFont="1" applyFill="1" applyBorder="1" applyAlignment="1">
      <alignment horizontal="center"/>
    </xf>
    <xf numFmtId="165" fontId="22" fillId="7" borderId="6" xfId="0" applyNumberFormat="1" applyFont="1" applyFill="1" applyBorder="1" applyAlignment="1">
      <alignment horizontal="center"/>
    </xf>
    <xf numFmtId="166" fontId="22" fillId="7" borderId="6" xfId="0" applyNumberFormat="1" applyFont="1" applyFill="1" applyBorder="1" applyAlignment="1">
      <alignment horizontal="center"/>
    </xf>
    <xf numFmtId="0" fontId="22" fillId="7" borderId="6" xfId="0" applyFont="1" applyFill="1" applyBorder="1" applyAlignment="1">
      <alignment horizontal="center"/>
    </xf>
    <xf numFmtId="0" fontId="22" fillId="7" borderId="6" xfId="0" quotePrefix="1" applyFont="1" applyFill="1" applyBorder="1" applyAlignment="1">
      <alignment horizontal="center"/>
    </xf>
    <xf numFmtId="0" fontId="22" fillId="7" borderId="6" xfId="0" applyFont="1" applyFill="1" applyBorder="1"/>
    <xf numFmtId="164" fontId="22" fillId="7" borderId="6" xfId="1" applyFont="1" applyFill="1" applyBorder="1" applyAlignment="1">
      <alignment horizontal="center"/>
    </xf>
    <xf numFmtId="0" fontId="22" fillId="9" borderId="5" xfId="0" applyFont="1" applyFill="1" applyBorder="1" applyAlignment="1">
      <alignment horizontal="center"/>
    </xf>
    <xf numFmtId="165" fontId="22" fillId="9" borderId="6" xfId="0" applyNumberFormat="1" applyFont="1" applyFill="1" applyBorder="1" applyAlignment="1">
      <alignment horizontal="center"/>
    </xf>
    <xf numFmtId="166" fontId="22" fillId="9" borderId="6" xfId="0" applyNumberFormat="1" applyFont="1" applyFill="1" applyBorder="1" applyAlignment="1">
      <alignment horizontal="center"/>
    </xf>
    <xf numFmtId="0" fontId="22" fillId="9" borderId="6" xfId="0" applyFont="1" applyFill="1" applyBorder="1" applyAlignment="1">
      <alignment horizontal="center"/>
    </xf>
    <xf numFmtId="0" fontId="22" fillId="9" borderId="6" xfId="0" quotePrefix="1" applyFont="1" applyFill="1" applyBorder="1" applyAlignment="1">
      <alignment horizontal="center"/>
    </xf>
    <xf numFmtId="0" fontId="22" fillId="9" borderId="6" xfId="0" applyFont="1" applyFill="1" applyBorder="1"/>
    <xf numFmtId="164" fontId="22" fillId="9" borderId="6" xfId="1" applyFont="1" applyFill="1" applyBorder="1" applyAlignment="1">
      <alignment horizontal="center"/>
    </xf>
    <xf numFmtId="166" fontId="22" fillId="0" borderId="0" xfId="0" applyNumberFormat="1" applyFont="1" applyAlignment="1">
      <alignment horizontal="center"/>
    </xf>
    <xf numFmtId="0" fontId="22" fillId="0" borderId="0" xfId="0" quotePrefix="1" applyFont="1" applyAlignment="1">
      <alignment horizontal="center"/>
    </xf>
    <xf numFmtId="0" fontId="22" fillId="8" borderId="0" xfId="0" applyFont="1" applyFill="1" applyAlignment="1">
      <alignment horizontal="center"/>
    </xf>
    <xf numFmtId="165" fontId="22" fillId="8" borderId="0" xfId="0" applyNumberFormat="1" applyFont="1" applyFill="1" applyAlignment="1">
      <alignment horizontal="center"/>
    </xf>
    <xf numFmtId="166" fontId="22" fillId="8" borderId="0" xfId="0" applyNumberFormat="1" applyFont="1" applyFill="1" applyAlignment="1">
      <alignment horizontal="center"/>
    </xf>
    <xf numFmtId="0" fontId="22" fillId="8" borderId="0" xfId="0" quotePrefix="1" applyFont="1" applyFill="1" applyAlignment="1">
      <alignment horizontal="center"/>
    </xf>
    <xf numFmtId="0" fontId="22" fillId="8" borderId="0" xfId="0" applyFont="1" applyFill="1"/>
    <xf numFmtId="164" fontId="22" fillId="8" borderId="0" xfId="1" applyFont="1" applyFill="1" applyAlignment="1">
      <alignment horizontal="center"/>
    </xf>
    <xf numFmtId="164" fontId="22" fillId="8" borderId="0" xfId="1" applyFont="1" applyFill="1"/>
    <xf numFmtId="164" fontId="22" fillId="8" borderId="0" xfId="1" applyFont="1" applyFill="1" applyAlignment="1">
      <alignment horizontal="left"/>
    </xf>
    <xf numFmtId="0" fontId="23" fillId="0" borderId="0" xfId="0" applyFont="1" applyFill="1"/>
    <xf numFmtId="0" fontId="22" fillId="0" borderId="0" xfId="0" applyFont="1" applyFill="1"/>
    <xf numFmtId="164" fontId="24" fillId="2" borderId="1" xfId="1" applyFont="1" applyFill="1" applyBorder="1" applyAlignment="1">
      <alignment horizontal="center" vertical="center" wrapText="1"/>
    </xf>
    <xf numFmtId="164" fontId="22" fillId="4" borderId="0" xfId="1" applyFont="1" applyFill="1"/>
    <xf numFmtId="164" fontId="22" fillId="0" borderId="0" xfId="1" applyFont="1" applyFill="1"/>
    <xf numFmtId="164" fontId="3" fillId="3" borderId="0" xfId="1" applyFont="1" applyFill="1"/>
    <xf numFmtId="14" fontId="0" fillId="0" borderId="0" xfId="0" applyNumberFormat="1"/>
    <xf numFmtId="0" fontId="22" fillId="3" borderId="0" xfId="0" applyFont="1" applyFill="1" applyAlignment="1">
      <alignment horizontal="center"/>
    </xf>
    <xf numFmtId="165" fontId="22" fillId="3" borderId="0" xfId="0" applyNumberFormat="1" applyFont="1" applyFill="1" applyAlignment="1">
      <alignment horizontal="center"/>
    </xf>
    <xf numFmtId="14" fontId="14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3" fillId="3" borderId="0" xfId="0" quotePrefix="1" applyFont="1" applyFill="1" applyAlignment="1">
      <alignment horizontal="center"/>
    </xf>
    <xf numFmtId="0" fontId="22" fillId="3" borderId="0" xfId="0" applyFont="1" applyFill="1"/>
    <xf numFmtId="0" fontId="14" fillId="3" borderId="0" xfId="0" applyFont="1" applyFill="1"/>
    <xf numFmtId="164" fontId="3" fillId="3" borderId="0" xfId="1" applyFont="1" applyFill="1" applyAlignment="1">
      <alignment horizontal="center"/>
    </xf>
    <xf numFmtId="164" fontId="14" fillId="3" borderId="0" xfId="1" applyFont="1" applyFill="1"/>
    <xf numFmtId="164" fontId="22" fillId="3" borderId="0" xfId="1" applyFont="1" applyFill="1"/>
    <xf numFmtId="164" fontId="22" fillId="3" borderId="0" xfId="1" applyFont="1" applyFill="1" applyAlignment="1">
      <alignment horizontal="left"/>
    </xf>
    <xf numFmtId="165" fontId="22" fillId="3" borderId="0" xfId="1" applyNumberFormat="1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Alignment="1">
      <alignment horizontal="center"/>
    </xf>
    <xf numFmtId="164" fontId="8" fillId="0" borderId="0" xfId="1" applyFont="1" applyFill="1"/>
    <xf numFmtId="164" fontId="3" fillId="8" borderId="0" xfId="1" applyFont="1" applyFill="1" applyAlignment="1">
      <alignment horizontal="left"/>
    </xf>
    <xf numFmtId="0" fontId="27" fillId="0" borderId="0" xfId="0" applyFont="1" applyAlignment="1">
      <alignment horizontal="center"/>
    </xf>
    <xf numFmtId="165" fontId="27" fillId="0" borderId="0" xfId="0" applyNumberFormat="1" applyFont="1" applyAlignment="1">
      <alignment horizontal="center"/>
    </xf>
    <xf numFmtId="0" fontId="27" fillId="0" borderId="0" xfId="0" applyFont="1"/>
    <xf numFmtId="164" fontId="27" fillId="0" borderId="0" xfId="1" applyFont="1"/>
    <xf numFmtId="164" fontId="27" fillId="0" borderId="0" xfId="1" applyFont="1" applyAlignment="1">
      <alignment horizontal="left"/>
    </xf>
    <xf numFmtId="165" fontId="27" fillId="0" borderId="0" xfId="1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65" formatCode="dd/mm/yyyy;@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/mm/yyyy;@"/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strike val="0"/>
        <outline val="0"/>
        <shadow val="0"/>
        <vertAlign val="baseline"/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/mm/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Calibri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right" readingOrder="0"/>
    </dxf>
    <dxf>
      <alignment horizontal="center" readingOrder="0"/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636.410684027775" createdVersion="6" refreshedVersion="6" minRefreshableVersion="3" recordCount="540">
  <cacheSource type="worksheet">
    <worksheetSource name="Tabla1"/>
  </cacheSource>
  <cacheFields count="36">
    <cacheField name="Mes" numFmtId="0">
      <sharedItems containsBlank="1" count="10">
        <s v="2024-04"/>
        <s v="2024-05"/>
        <s v="2024-07"/>
        <s v="2024-08"/>
        <s v="2024-09"/>
        <s v="2024-10"/>
        <s v="2024-11"/>
        <s v="2024-12"/>
        <m u="1"/>
        <s v="2024-10-" u="1"/>
      </sharedItems>
    </cacheField>
    <cacheField name="Fecha" numFmtId="165">
      <sharedItems containsSemiMixedTypes="0" containsNonDate="0" containsDate="1" containsString="0" minDate="2024-04-09T00:00:00" maxDate="2024-12-10T00:00:00"/>
    </cacheField>
    <cacheField name="Comprobante" numFmtId="0">
      <sharedItems/>
    </cacheField>
    <cacheField name="Tipo" numFmtId="0">
      <sharedItems containsBlank="1"/>
    </cacheField>
    <cacheField name="Punto de Venta" numFmtId="0">
      <sharedItems containsBlank="1" containsMixedTypes="1" containsNumber="1" containsInteger="1" minValue="1326" maxValue="1326"/>
    </cacheField>
    <cacheField name="Número de Comprobante" numFmtId="0">
      <sharedItems containsBlank="1" containsMixedTypes="1" containsNumber="1" containsInteger="1" minValue="485" maxValue="485"/>
    </cacheField>
    <cacheField name="Proveedor / Razón Social" numFmtId="0">
      <sharedItems containsBlank="1" count="184">
        <s v="Cruz Blajos Alejandro Rodrigo"/>
        <s v="Roberto Salinas e Hijos S.A."/>
        <s v="Lara Humberto Esteban"/>
        <s v="MELS S.R.L."/>
        <s v="MDV Consultora"/>
        <s v="Oxigeno Salta SRL"/>
        <s v="Drogueria Salta Salud SRL"/>
        <s v="Zelarayan Carlos Ricardo USD"/>
        <s v="Mafra SAS"/>
        <s v="Oliva Danilo Andres"/>
        <s v="Balderrama Walter Ruben"/>
        <s v="Drogueria Plaza Oña S.A."/>
        <s v="Borjas Ricardo Rodrigo"/>
        <s v="Intec SRL"/>
        <s v="Bionet SRL"/>
        <s v="Medicfarma S.R.L."/>
        <s v="Moreyra Alfredo Balbino"/>
        <s v="Habitat Ecológico S.A."/>
        <s v="AG MAX S.R.L."/>
        <s v="Carbone Claudia Alejandra"/>
        <s v="DISTRIBUIDORA VIDT SRL"/>
        <s v="DORADO CLAUDIO MARIO REYES"/>
        <s v="FARMACORP S.A.S."/>
        <s v="FERREMUNDO S.R.L."/>
        <s v="Titaves Servicios Informaticos SRL"/>
        <s v="Chahle Amalia Rosa"/>
        <s v="Distribuidora King Pack S.A.S."/>
        <s v="GUERRERO JULIO UMBERTO"/>
        <s v="DRSKA CARLOS FEDERICO"/>
        <s v="EDESA S.A."/>
        <s v="SUDNE S.A."/>
        <s v="Panadería Alpan SASU"/>
        <s v="Castro Pereyra Rojas Maria Monserrat"/>
        <s v="Duran Soto Darmin Yohana"/>
        <s v="MASTER CLEAN S.A."/>
        <s v="Viobal S.R.L."/>
        <s v="Gustavo E. Aguilar S.A.S."/>
        <s v="Laboratorios Farkim SRL"/>
        <s v="Lavasol S.R.L."/>
        <s v="Exeni Juan Carlos"/>
        <s v="Telecom Argentina S.A."/>
        <s v="AMX ARGENTINA SOCIEDAD ANONIMA"/>
        <s v="LIBRERIA SAN PABLO S.R.L."/>
        <s v="Salus S.A."/>
        <s v="ULI S.R.L."/>
        <s v="CORREO OFICIAL DE LA REPUBLICA ARGENTINA S.A."/>
        <s v="DELGADO KEVIN NICOLÁS"/>
        <s v="Fertel S.A."/>
        <s v="Bus Pack S.A."/>
        <s v="Condori Claudia Lorena"/>
        <s v="Transportes La Sevillanita S.R.L."/>
        <s v="Clinica Virgen de Urkupiña"/>
        <s v="Agüero Fuentes Matias Gabriel"/>
        <s v="Cuellar Marcos Gaston"/>
        <s v="Diaz Puertas Matias"/>
        <s v="FIGALLO SANDRA MARIA"/>
        <s v="Gonzalez Magali Elizabeth "/>
        <s v="Grupo San Cayetano SRL"/>
        <s v="Guedilla Rodriguez Donato Braian Andreas"/>
        <s v="Hurtado Ignacio Javier"/>
        <s v="MARTINEZ Y MARTINEZ S R L"/>
        <s v="OCAÑA GAS S.R.L."/>
        <s v="Palma Figueroa Ignacio Javier"/>
        <s v="Salvatierra Maria Marta"/>
        <s v="GASTOS SIN FACTURAS"/>
        <s v="Distrivel S.A.S."/>
        <s v="Gerez Gerardo Edgardo"/>
        <s v="Ortiz Juan Manuel"/>
        <s v="Schej Maria Eugenia"/>
        <s v="Fragola Antonela Belen"/>
        <s v="Muñoz Rocio Sofia"/>
        <s v="Perez Jesus Miguel"/>
        <s v="Do Nascimiento Lima Rafael"/>
        <s v="Alves Shalon Carlos"/>
        <s v="Drogueria Brumax S.A.S."/>
        <s v="Guanca Dalma Natalia"/>
        <s v="Ibañez Mario Ruben"/>
        <s v="Neriz Natalia Vanesa"/>
        <s v="Pizarro Refrigeraciones S.R.L."/>
        <s v="Sucesion Nomi Abdenur"/>
        <s v="Zambrana Enrique Ricardo"/>
        <s v="GASNOR"/>
        <s v="Acuña Pamela Virginia"/>
        <s v="Chaile Luciana Estefania"/>
        <s v="Valdez Orlando Lino"/>
        <s v="Arsus SAS"/>
        <s v="Rodriguez Octavio Orlando"/>
        <s v="Tecnograf S.A."/>
        <s v="Ale Jacinto Elias"/>
        <s v="Choque Gimena del Milagro"/>
        <s v="Flores Gimena Fernanda"/>
        <s v="Guaymas Andres de las Mercedes"/>
        <s v="Lagoria Raul Miguel"/>
        <s v="Lopez Maria Eugenia"/>
        <s v="Lorca Federico Javier"/>
        <s v="Nieva Mirna Beatriz"/>
        <s v="PETIT PLAST S.A."/>
        <s v="Romeo Micaela Gianina"/>
        <s v="Salta Refrescos SA"/>
        <s v="Salto Patricia Raquel"/>
        <s v="Sosa Natalia Milagro"/>
        <s v="Subelza Maria Teresa"/>
        <s v="Yapura Gilda Anabel"/>
        <s v="Colque Carlos Alberto"/>
        <s v="Benicio Ivana Belen"/>
        <s v="Cruz Maria Fernanda"/>
        <s v="Guzman Cynthia Fernanda"/>
        <s v="Medina Escobar Guadalupe Leonor"/>
        <s v="Patricio Norma Elvira"/>
        <s v="Tapia Patricia Lorena"/>
        <s v="Villagran Cintia Lorena Elizabeth"/>
        <s v="Avalian Salud y Bienestar Coop. Ltda."/>
        <s v="Di Santi Mazzone Agustina"/>
        <s v="Drogueria Pharma Center S.R.L."/>
        <s v="Cruz Rosana Paola Soraya"/>
        <s v="Farias Bustillos Camila Belen"/>
        <s v="Flores Urquiza Nicolas Mariano"/>
        <s v="Laci Lucia Laura"/>
        <s v="Lera Claudia Beatriz"/>
        <s v="Rosales Agustina Micaela"/>
        <s v="Abdenur Hermanos S.R.L."/>
        <s v="TUCUCOL SRL"/>
        <s v="Gallardo Ruben Orlando"/>
        <s v="Invrec S.A."/>
        <s v="Valda Sanchez Milagros Belen"/>
        <s v="Garcia Mendoza Lautaro Miguel"/>
        <s v="CARATTONI FOCALIZADOS SRL"/>
        <s v="MEALLA JUAN CARLOS"/>
        <s v="Ibañez Claudia Elizabeth"/>
        <s v="Electricidad RD SRL"/>
        <s v="CENCOSUD S.A."/>
        <s v="EXENI LUIS ENRIQUE"/>
        <s v="Yañez Alejandra Ines"/>
        <s v="Gomez Aldonate Jose Daniel"/>
        <s v="Constructora 360 S.A.S."/>
        <s v="Gasol S.R.L."/>
        <s v="CUELLAR RICARDO DAVID"/>
        <s v="SALTA PLAST POLIETILENOS S.R.L."/>
        <s v="Previgliano Emanuel"/>
        <s v="Supermat Central S.A.S."/>
        <s v="Hubaide Sergio Ricardo"/>
        <s v="MARTINA SRL"/>
        <s v="Sosa Gustavo Adolfo"/>
        <s v="Granados Jesus Tadeo"/>
        <s v="Flores Castedo Esteban Moises"/>
        <s v="D TAQI S.A.S."/>
        <s v="LIBRERÍA LERMA SRL"/>
        <s v="Cano Francisco Fernando Nicolas"/>
        <s v="Montero Jordan Nadia del Carmen"/>
        <s v="Flores Hugo Alejandro"/>
        <s v="Rios Fernanda Nahir"/>
        <s v="Choque Milagro Elizabeth"/>
        <s v="GONZALEZ RODRIGO JAVIER"/>
        <s v="Carrillos Luis Cesar Primitivo"/>
        <s v="Delight S.R.L."/>
        <s v="Retamozo Adrian Eduardo"/>
        <s v="Bionuclear S.A."/>
        <s v="Pharma Ligth S.R.L."/>
        <s v="Covidex S.R.L."/>
        <s v="Via Cargo S.A."/>
        <s v="Acclimatare S.R.L."/>
        <s v="BUENA VIDA SRL"/>
        <s v="Drogueria Guamper SRL"/>
        <s v="Osasun SRL"/>
        <s v="Alvarez Gustavo Enrique"/>
        <s v="Aramayo Mirta Blanca"/>
        <s v="Zacharias Arb Fernando Jose"/>
        <s v="Farfan Nilda Soledad"/>
        <s v="Perri Mario Santos"/>
        <s v="SALUZZI MARIANELLA"/>
        <s v="DROGUERIA CAPDEVILA SRL"/>
        <s v="MEDICINA INTEGRAL FENIX SRL"/>
        <s v="Salutem S.R.L."/>
        <s v="FAILA SRL"/>
        <s v="Ministerio de la salud publica de la provincia de salta"/>
        <s v="MKS SRL"/>
        <s v="VILLARROEL DAVID FEDERICO"/>
        <m u="1"/>
        <s v="Romeo Micaela Giannina" u="1"/>
        <s v="Guaymas Andrea del Milagro" u="1"/>
        <s v="Zelarayan Carlos Ricardo" u="1"/>
        <s v="Romero Micaela Gianina" u="1"/>
        <s v="Via Cargo" u="1"/>
        <s v="Cuellar Marcos Gastos" u="1"/>
      </sharedItems>
    </cacheField>
    <cacheField name="CUIT" numFmtId="0">
      <sharedItems containsString="0" containsBlank="1" containsNumber="1" containsInteger="1" minValue="20072806078" maxValue="33718560999"/>
    </cacheField>
    <cacheField name="Descripción" numFmtId="0">
      <sharedItems/>
    </cacheField>
    <cacheField name="Moneda" numFmtId="0">
      <sharedItems/>
    </cacheField>
    <cacheField name="Tipo de Cambio" numFmtId="164">
      <sharedItems containsSemiMixedTypes="0" containsString="0" containsNumber="1" containsInteger="1" minValue="1" maxValue="991"/>
    </cacheField>
    <cacheField name="Neto" numFmtId="164">
      <sharedItems containsSemiMixedTypes="0" containsString="0" containsNumber="1" minValue="-528000" maxValue="6873700.7300000004"/>
    </cacheField>
    <cacheField name="IVA 21%" numFmtId="164">
      <sharedItems containsSemiMixedTypes="0" containsString="0" containsNumber="1" minValue="0" maxValue="1443477.1533000001"/>
    </cacheField>
    <cacheField name="IVA 10,5%" numFmtId="164">
      <sharedItems containsString="0" containsBlank="1" containsNumber="1" minValue="0" maxValue="114975"/>
    </cacheField>
    <cacheField name="IVA 27%" numFmtId="164">
      <sharedItems containsString="0" containsBlank="1" containsNumber="1" minValue="0" maxValue="566404.4"/>
    </cacheField>
    <cacheField name="No Gravado" numFmtId="164">
      <sharedItems containsString="0" containsBlank="1" containsNumber="1" minValue="0" maxValue="79.569999999999993"/>
    </cacheField>
    <cacheField name="Exento" numFmtId="164">
      <sharedItems containsString="0" containsBlank="1" containsNumber="1" minValue="-371696.85" maxValue="3730133"/>
    </cacheField>
    <cacheField name="Percepcion IVA 3%" numFmtId="164">
      <sharedItems containsString="0" containsBlank="1" containsNumber="1" minValue="0" maxValue="179975.77"/>
    </cacheField>
    <cacheField name="Percepcion IIBB Salta 3,6%" numFmtId="164">
      <sharedItems containsString="0" containsBlank="1" containsNumber="1" minValue="0" maxValue="104664.6"/>
    </cacheField>
    <cacheField name="Impuestos Internos / Otros Tributos" numFmtId="164">
      <sharedItems containsString="0" containsBlank="1" containsNumber="1" minValue="0" maxValue="224010.91999999998"/>
    </cacheField>
    <cacheField name="Credito Fiscal" numFmtId="164">
      <sharedItems containsSemiMixedTypes="0" containsString="0" containsNumber="1" minValue="0" maxValue="1443477.1533000001"/>
    </cacheField>
    <cacheField name="Total" numFmtId="164">
      <sharedItems containsSemiMixedTypes="0" containsString="0" containsNumber="1" minValue="-528000" maxValue="8317177.8833000008"/>
    </cacheField>
    <cacheField name="Total a Pagar" numFmtId="164">
      <sharedItems containsSemiMixedTypes="0" containsString="0" containsNumber="1" minValue="-528000" maxValue="8317177.8833000008"/>
    </cacheField>
    <cacheField name="SICORE" numFmtId="164">
      <sharedItems containsString="0" containsBlank="1" containsNumber="1" minValue="0" maxValue="105654.78"/>
    </cacheField>
    <cacheField name="Estado" numFmtId="0">
      <sharedItems containsBlank="1" count="4">
        <s v="No Cancelada"/>
        <s v="Cancelada"/>
        <m/>
        <s v="Parcial"/>
      </sharedItems>
    </cacheField>
    <cacheField name="Facha Vto FC" numFmtId="0">
      <sharedItems containsDate="1" containsBlank="1" containsMixedTypes="1" minDate="2024-12-04T00:00:00" maxDate="2025-01-03T00:00:00"/>
    </cacheField>
    <cacheField name="Fecha de Pago" numFmtId="165">
      <sharedItems containsDate="1" containsBlank="1" containsMixedTypes="1" minDate="2021-11-21T00:00:00" maxDate="2024-12-11T00:00:00"/>
    </cacheField>
    <cacheField name="Banco Macro CC" numFmtId="164">
      <sharedItems containsString="0" containsBlank="1" containsNumber="1" minValue="0" maxValue="8548484.0199999996"/>
    </cacheField>
    <cacheField name="Banco Macro CC Esp." numFmtId="0">
      <sharedItems containsNonDate="0" containsString="0" containsBlank="1"/>
    </cacheField>
    <cacheField name="Saldo S/Contabilidad" numFmtId="0">
      <sharedItems containsNonDate="0" containsString="0" containsBlank="1"/>
    </cacheField>
    <cacheField name="PROVISIONES 2023" numFmtId="0">
      <sharedItems containsNonDate="0" containsString="0" containsBlank="1"/>
    </cacheField>
    <cacheField name="ANTICIPOS A PROV.2023" numFmtId="0">
      <sharedItems containsNonDate="0" containsString="0" containsBlank="1"/>
    </cacheField>
    <cacheField name="Ajustes" numFmtId="0">
      <sharedItems containsNonDate="0" containsString="0" containsBlank="1"/>
    </cacheField>
    <cacheField name="Caja" numFmtId="164">
      <sharedItems containsString="0" containsBlank="1" containsNumber="1" minValue="0" maxValue="400000"/>
    </cacheField>
    <cacheField name="Saldo S/Auditoria" numFmtId="0">
      <sharedItems containsNonDate="0" containsString="0"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0">
  <r>
    <x v="0"/>
    <d v="2024-04-09T00:00:00"/>
    <s v="FAC"/>
    <s v="C"/>
    <s v="0003"/>
    <s v="00000207"/>
    <x v="0"/>
    <n v="20139171927"/>
    <s v="Mantenimiento de ascensores P2024-03"/>
    <s v="ARS"/>
    <n v="1"/>
    <n v="12000"/>
    <n v="0"/>
    <n v="0"/>
    <n v="0"/>
    <n v="0"/>
    <n v="0"/>
    <n v="0"/>
    <n v="0"/>
    <n v="0"/>
    <n v="0"/>
    <n v="12000"/>
    <n v="12000"/>
    <m/>
    <x v="0"/>
    <m/>
    <m/>
    <m/>
    <m/>
    <m/>
    <m/>
    <m/>
    <m/>
    <m/>
    <m/>
    <m/>
  </r>
  <r>
    <x v="1"/>
    <d v="2024-05-10T00:00:00"/>
    <s v="FAC"/>
    <s v="C"/>
    <s v="0003"/>
    <s v="00000212"/>
    <x v="0"/>
    <n v="20139171927"/>
    <s v="Mantenimiento de ascensores P2024-04"/>
    <s v="ARS"/>
    <n v="1"/>
    <n v="12000"/>
    <n v="0"/>
    <n v="0"/>
    <n v="0"/>
    <n v="0"/>
    <n v="0"/>
    <n v="0"/>
    <n v="0"/>
    <n v="0"/>
    <n v="0"/>
    <n v="12000"/>
    <n v="12000"/>
    <m/>
    <x v="0"/>
    <m/>
    <m/>
    <m/>
    <m/>
    <m/>
    <m/>
    <m/>
    <m/>
    <m/>
    <m/>
    <m/>
  </r>
  <r>
    <x v="2"/>
    <d v="2024-07-19T00:00:00"/>
    <s v="FAC"/>
    <s v="A"/>
    <s v="0004"/>
    <s v="00052292"/>
    <x v="1"/>
    <n v="30708764236"/>
    <s v="Suministro oxigeno P2024-07"/>
    <s v="ARS"/>
    <n v="1"/>
    <n v="667687.19999999995"/>
    <n v="140214.31199999998"/>
    <n v="0"/>
    <n v="0"/>
    <n v="0"/>
    <n v="0"/>
    <n v="0"/>
    <n v="0"/>
    <n v="0"/>
    <n v="140214.31199999998"/>
    <n v="807901.51199999987"/>
    <n v="807901.51199999987"/>
    <n v="13353.74"/>
    <x v="1"/>
    <m/>
    <d v="2024-10-18T00:00:00"/>
    <n v="794547.77199999988"/>
    <m/>
    <m/>
    <m/>
    <m/>
    <m/>
    <n v="0"/>
    <m/>
    <m/>
  </r>
  <r>
    <x v="2"/>
    <d v="2024-07-22T00:00:00"/>
    <s v="FAC"/>
    <s v="A"/>
    <s v="0002"/>
    <s v="00015775"/>
    <x v="2"/>
    <n v="20203998091"/>
    <s v="Insumos de Farmacia"/>
    <s v="ARS"/>
    <n v="1"/>
    <n v="151534.07999999999"/>
    <n v="31822.156799999997"/>
    <n v="0"/>
    <n v="0"/>
    <n v="0"/>
    <n v="173589"/>
    <n v="0"/>
    <n v="0"/>
    <n v="0"/>
    <n v="31822.156799999997"/>
    <n v="356945.23679999996"/>
    <n v="356945.23679999996"/>
    <m/>
    <x v="1"/>
    <m/>
    <m/>
    <m/>
    <m/>
    <m/>
    <m/>
    <m/>
    <m/>
    <m/>
    <m/>
    <m/>
  </r>
  <r>
    <x v="2"/>
    <d v="2024-07-24T00:00:00"/>
    <s v="FAC"/>
    <s v="A"/>
    <s v="0002"/>
    <s v="00015780"/>
    <x v="2"/>
    <n v="20203998091"/>
    <s v="Insumos de Farmacia"/>
    <s v="ARS"/>
    <n v="1"/>
    <n v="0"/>
    <n v="0"/>
    <n v="0"/>
    <n v="0"/>
    <n v="0"/>
    <n v="2681280"/>
    <n v="0"/>
    <n v="0"/>
    <n v="0"/>
    <n v="0"/>
    <n v="2681280"/>
    <n v="2681280"/>
    <m/>
    <x v="1"/>
    <m/>
    <m/>
    <m/>
    <m/>
    <m/>
    <m/>
    <m/>
    <m/>
    <m/>
    <m/>
    <m/>
  </r>
  <r>
    <x v="2"/>
    <d v="2024-07-24T00:00:00"/>
    <s v="FAC"/>
    <s v="A"/>
    <s v="0002"/>
    <s v="00015784"/>
    <x v="2"/>
    <n v="20203998091"/>
    <s v="Insumos de Farmacia"/>
    <s v="ARS"/>
    <n v="1"/>
    <n v="0"/>
    <n v="0"/>
    <n v="0"/>
    <n v="0"/>
    <n v="0"/>
    <n v="173589"/>
    <n v="0"/>
    <n v="0"/>
    <n v="0"/>
    <n v="0"/>
    <n v="173589"/>
    <n v="173589"/>
    <m/>
    <x v="1"/>
    <m/>
    <m/>
    <m/>
    <m/>
    <m/>
    <m/>
    <m/>
    <m/>
    <m/>
    <m/>
    <m/>
  </r>
  <r>
    <x v="2"/>
    <d v="2024-07-25T00:00:00"/>
    <s v="FAC"/>
    <s v="A"/>
    <s v="0002"/>
    <s v="00015793"/>
    <x v="2"/>
    <n v="20203998091"/>
    <s v="Insumos de Farmacia"/>
    <s v="ARS"/>
    <n v="1"/>
    <n v="103451.61"/>
    <n v="21724.838100000001"/>
    <n v="0"/>
    <n v="0"/>
    <n v="0"/>
    <n v="0"/>
    <n v="0"/>
    <n v="0"/>
    <n v="0"/>
    <n v="21724.838100000001"/>
    <n v="125176.44810000001"/>
    <n v="125176.44810000001"/>
    <m/>
    <x v="1"/>
    <m/>
    <m/>
    <m/>
    <m/>
    <m/>
    <m/>
    <m/>
    <m/>
    <m/>
    <m/>
    <m/>
  </r>
  <r>
    <x v="2"/>
    <d v="2024-07-25T00:00:00"/>
    <s v="FAC"/>
    <s v="C"/>
    <s v="0003"/>
    <s v="00000226"/>
    <x v="0"/>
    <n v="20139171927"/>
    <s v="Mantenimiento de ascensores P2024-06"/>
    <s v="ARS"/>
    <n v="1"/>
    <n v="12000"/>
    <n v="0"/>
    <n v="0"/>
    <n v="0"/>
    <n v="0"/>
    <n v="0"/>
    <n v="0"/>
    <n v="0"/>
    <n v="0"/>
    <n v="0"/>
    <n v="12000"/>
    <n v="12000"/>
    <m/>
    <x v="0"/>
    <m/>
    <m/>
    <m/>
    <m/>
    <m/>
    <m/>
    <m/>
    <m/>
    <m/>
    <m/>
    <m/>
  </r>
  <r>
    <x v="2"/>
    <d v="2024-07-29T00:00:00"/>
    <s v="FAC"/>
    <s v="A"/>
    <s v="0002"/>
    <s v="00015807"/>
    <x v="2"/>
    <n v="20203998091"/>
    <s v="Insumos de Farmacia"/>
    <s v="ARS"/>
    <n v="1"/>
    <n v="9100"/>
    <n v="1911"/>
    <n v="0"/>
    <n v="0"/>
    <n v="0"/>
    <n v="0"/>
    <n v="0"/>
    <n v="0"/>
    <n v="0"/>
    <n v="1911"/>
    <n v="11011"/>
    <n v="11011"/>
    <m/>
    <x v="1"/>
    <m/>
    <m/>
    <m/>
    <m/>
    <m/>
    <m/>
    <m/>
    <m/>
    <m/>
    <m/>
    <m/>
  </r>
  <r>
    <x v="3"/>
    <d v="2024-08-01T00:00:00"/>
    <s v="FAC"/>
    <s v="A"/>
    <s v="0002"/>
    <s v="00022028"/>
    <x v="3"/>
    <n v="30715721461"/>
    <s v="Suministro de agua P2024-08"/>
    <s v="ARS"/>
    <n v="1"/>
    <n v="45000"/>
    <n v="9450"/>
    <n v="0"/>
    <n v="0"/>
    <n v="0"/>
    <n v="0"/>
    <n v="0"/>
    <n v="0"/>
    <n v="0"/>
    <n v="9450"/>
    <n v="54450"/>
    <n v="54450"/>
    <m/>
    <x v="1"/>
    <m/>
    <d v="2024-10-05T00:00:00"/>
    <n v="54450"/>
    <m/>
    <m/>
    <m/>
    <m/>
    <m/>
    <n v="0"/>
    <m/>
    <m/>
  </r>
  <r>
    <x v="3"/>
    <d v="2024-08-01T00:00:00"/>
    <s v="A cuenta"/>
    <m/>
    <m/>
    <m/>
    <x v="4"/>
    <m/>
    <s v="Honorarios Julio 2024"/>
    <s v="ARS"/>
    <n v="1"/>
    <n v="400000"/>
    <n v="0"/>
    <n v="0"/>
    <n v="0"/>
    <n v="0"/>
    <n v="0"/>
    <n v="0"/>
    <n v="0"/>
    <n v="0"/>
    <n v="0"/>
    <n v="400000"/>
    <n v="400000"/>
    <n v="0"/>
    <x v="1"/>
    <m/>
    <d v="2024-11-06T00:00:00"/>
    <n v="0"/>
    <m/>
    <m/>
    <m/>
    <m/>
    <m/>
    <n v="400000"/>
    <m/>
    <m/>
  </r>
  <r>
    <x v="3"/>
    <d v="2024-08-02T00:00:00"/>
    <s v="FAC"/>
    <s v="A"/>
    <s v="0003"/>
    <s v="00002088"/>
    <x v="5"/>
    <n v="30714721301"/>
    <s v="Suministro mensual oxigeno P2024-07"/>
    <s v="ARS"/>
    <n v="1"/>
    <n v="1419603.79"/>
    <n v="298116.79589999997"/>
    <n v="0"/>
    <n v="0"/>
    <n v="0"/>
    <n v="0"/>
    <n v="0"/>
    <n v="51105.736440000008"/>
    <n v="0"/>
    <n v="298116.79589999997"/>
    <n v="1768826.32234"/>
    <n v="1768826.32234"/>
    <n v="23912.080000000002"/>
    <x v="1"/>
    <m/>
    <d v="2024-10-05T00:00:00"/>
    <n v="1744914.2423399999"/>
    <m/>
    <m/>
    <m/>
    <m/>
    <m/>
    <n v="0"/>
    <m/>
    <m/>
  </r>
  <r>
    <x v="3"/>
    <d v="2024-08-02T00:00:00"/>
    <s v="FAC"/>
    <s v="A"/>
    <s v="0003"/>
    <s v="00079305"/>
    <x v="6"/>
    <n v="33710842499"/>
    <s v="Insumos de Farmacia"/>
    <s v="ARS"/>
    <n v="1"/>
    <n v="94314.05"/>
    <n v="19805.950499999999"/>
    <n v="0"/>
    <n v="0"/>
    <n v="0"/>
    <n v="0"/>
    <n v="0"/>
    <n v="0"/>
    <n v="0"/>
    <n v="19805.950499999999"/>
    <n v="114120.00049999999"/>
    <n v="114120.00049999999"/>
    <m/>
    <x v="0"/>
    <m/>
    <m/>
    <m/>
    <m/>
    <m/>
    <m/>
    <m/>
    <m/>
    <m/>
    <m/>
    <m/>
  </r>
  <r>
    <x v="3"/>
    <d v="2024-08-02T00:00:00"/>
    <s v="FAC"/>
    <s v="A"/>
    <s v="0004"/>
    <s v="00002882"/>
    <x v="7"/>
    <n v="20126068450"/>
    <s v="Alquiler digitalizador"/>
    <s v="ARS"/>
    <n v="1"/>
    <n v="476500"/>
    <n v="100065"/>
    <n v="0"/>
    <n v="0"/>
    <n v="0"/>
    <n v="0"/>
    <n v="0"/>
    <n v="17154.000000000004"/>
    <n v="11912.5"/>
    <n v="100065"/>
    <n v="605631.5"/>
    <n v="605631.5"/>
    <n v="0"/>
    <x v="1"/>
    <m/>
    <d v="2024-09-20T00:00:00"/>
    <n v="605631.5"/>
    <m/>
    <m/>
    <m/>
    <m/>
    <m/>
    <n v="0"/>
    <m/>
    <m/>
  </r>
  <r>
    <x v="3"/>
    <d v="2024-08-03T00:00:00"/>
    <s v="FAC"/>
    <s v="A"/>
    <s v="0006"/>
    <s v="00001938"/>
    <x v="8"/>
    <n v="30716939762"/>
    <s v="Mercadería para oficina"/>
    <s v="ARS"/>
    <n v="1"/>
    <n v="61169.919999999998"/>
    <n v="12845.683199999999"/>
    <n v="0"/>
    <n v="0"/>
    <n v="0"/>
    <n v="0"/>
    <n v="0"/>
    <n v="0"/>
    <n v="0"/>
    <n v="12845.683199999999"/>
    <n v="74015.603199999998"/>
    <n v="74015.603199999998"/>
    <n v="0"/>
    <x v="1"/>
    <m/>
    <d v="2024-10-23T00:00:00"/>
    <n v="74015.603199999998"/>
    <m/>
    <m/>
    <m/>
    <m/>
    <m/>
    <n v="0"/>
    <m/>
    <m/>
  </r>
  <r>
    <x v="3"/>
    <d v="2024-08-06T00:00:00"/>
    <s v="FAC"/>
    <s v="C"/>
    <s v="0003"/>
    <s v="00000233"/>
    <x v="0"/>
    <n v="20139171927"/>
    <s v="Mantenimiento de ascensores P2024-07"/>
    <s v="ARS"/>
    <n v="1"/>
    <n v="12000"/>
    <n v="0"/>
    <n v="0"/>
    <n v="0"/>
    <n v="0"/>
    <n v="0"/>
    <n v="0"/>
    <n v="0"/>
    <n v="0"/>
    <n v="0"/>
    <n v="12000"/>
    <n v="12000"/>
    <m/>
    <x v="0"/>
    <m/>
    <m/>
    <m/>
    <m/>
    <m/>
    <m/>
    <m/>
    <m/>
    <m/>
    <m/>
    <m/>
  </r>
  <r>
    <x v="3"/>
    <d v="2024-08-07T00:00:00"/>
    <s v="FAC"/>
    <s v="A"/>
    <s v="0006"/>
    <s v="00000814"/>
    <x v="9"/>
    <n v="20233929035"/>
    <s v="Insumos de Lavandería y Limpieza"/>
    <s v="ARS"/>
    <n v="1"/>
    <n v="220978.33"/>
    <n v="46405.449299999993"/>
    <n v="0"/>
    <n v="0"/>
    <n v="0"/>
    <n v="0"/>
    <n v="0"/>
    <n v="0"/>
    <n v="0"/>
    <n v="46405.449299999993"/>
    <n v="267383.77929999999"/>
    <n v="267383.77929999999"/>
    <n v="0"/>
    <x v="0"/>
    <m/>
    <d v="2024-11-12T00:00:00"/>
    <n v="267383.77929999999"/>
    <m/>
    <m/>
    <m/>
    <m/>
    <m/>
    <m/>
    <m/>
    <m/>
  </r>
  <r>
    <x v="3"/>
    <d v="2024-08-08T00:00:00"/>
    <s v="FAC"/>
    <s v="C"/>
    <s v="0002"/>
    <s v="00000831"/>
    <x v="10"/>
    <n v="20222549788"/>
    <s v="Soporte Sistema Informatico P2024-07"/>
    <s v="ARS"/>
    <n v="1"/>
    <n v="227256"/>
    <n v="0"/>
    <n v="0"/>
    <n v="0"/>
    <n v="0"/>
    <n v="0"/>
    <n v="0"/>
    <n v="0"/>
    <n v="0"/>
    <n v="0"/>
    <n v="227256"/>
    <n v="227256"/>
    <m/>
    <x v="1"/>
    <m/>
    <d v="2024-10-03T00:00:00"/>
    <n v="227256"/>
    <m/>
    <m/>
    <m/>
    <m/>
    <m/>
    <n v="0"/>
    <m/>
    <m/>
  </r>
  <r>
    <x v="3"/>
    <d v="2024-08-12T00:00:00"/>
    <s v="FAC"/>
    <s v="A"/>
    <s v="0003"/>
    <s v="00038838"/>
    <x v="11"/>
    <n v="30709932361"/>
    <s v="Soluciones fisiologicas"/>
    <s v="ARS"/>
    <n v="1"/>
    <n v="0"/>
    <n v="0"/>
    <n v="0"/>
    <n v="0"/>
    <n v="0"/>
    <n v="3150000"/>
    <n v="0"/>
    <n v="0"/>
    <n v="0"/>
    <n v="0"/>
    <n v="3150000"/>
    <n v="3150000"/>
    <n v="58520"/>
    <x v="1"/>
    <m/>
    <d v="2024-10-05T00:00:00"/>
    <n v="3091480"/>
    <m/>
    <m/>
    <m/>
    <m/>
    <m/>
    <n v="0"/>
    <m/>
    <m/>
  </r>
  <r>
    <x v="3"/>
    <d v="2024-08-14T00:00:00"/>
    <s v="FAC"/>
    <s v="A"/>
    <s v="0003"/>
    <s v="00079551"/>
    <x v="6"/>
    <n v="33710842499"/>
    <s v="Insumos de Farmacia"/>
    <s v="ARS"/>
    <n v="1"/>
    <n v="217320.45"/>
    <n v="31010.590800000002"/>
    <n v="1893.2529"/>
    <n v="0"/>
    <n v="0"/>
    <n v="0"/>
    <n v="0"/>
    <n v="0"/>
    <n v="0"/>
    <n v="32903.843700000005"/>
    <n v="250224.29370000001"/>
    <n v="250224.29370000001"/>
    <m/>
    <x v="0"/>
    <m/>
    <m/>
    <m/>
    <m/>
    <m/>
    <m/>
    <m/>
    <m/>
    <m/>
    <m/>
    <m/>
  </r>
  <r>
    <x v="3"/>
    <d v="2024-08-16T00:00:00"/>
    <s v="FAC"/>
    <s v="C"/>
    <s v="0001"/>
    <s v="00000020"/>
    <x v="12"/>
    <n v="20283782280"/>
    <s v="Servicios de informatica  - Trabajos realizados de informatica"/>
    <s v="ARS"/>
    <n v="1"/>
    <n v="225000"/>
    <n v="0"/>
    <n v="0"/>
    <n v="0"/>
    <n v="0"/>
    <n v="0"/>
    <n v="0"/>
    <n v="0"/>
    <n v="0"/>
    <n v="0"/>
    <n v="225000"/>
    <n v="225000"/>
    <n v="0"/>
    <x v="1"/>
    <m/>
    <d v="2024-09-09T00:00:00"/>
    <n v="225000"/>
    <m/>
    <m/>
    <m/>
    <m/>
    <m/>
    <n v="0"/>
    <m/>
    <m/>
  </r>
  <r>
    <x v="3"/>
    <d v="2024-08-20T00:00:00"/>
    <s v="N/D"/>
    <s v="A"/>
    <s v="0002"/>
    <s v="00000127"/>
    <x v="13"/>
    <n v="30629233144"/>
    <s v="Diferencia de Cambio Cuota 1° Ecografo"/>
    <s v="ARS"/>
    <n v="1"/>
    <n v="700000"/>
    <n v="0"/>
    <n v="73500"/>
    <n v="0"/>
    <n v="0"/>
    <n v="0"/>
    <n v="0"/>
    <n v="0"/>
    <n v="0"/>
    <n v="73500"/>
    <n v="773500"/>
    <n v="773500"/>
    <n v="9520"/>
    <x v="1"/>
    <m/>
    <d v="2024-10-24T00:00:00"/>
    <n v="763980"/>
    <m/>
    <m/>
    <m/>
    <m/>
    <m/>
    <n v="0"/>
    <m/>
    <m/>
  </r>
  <r>
    <x v="3"/>
    <d v="2024-08-20T00:00:00"/>
    <s v="FAC"/>
    <s v="A"/>
    <s v="0006"/>
    <s v="00002150"/>
    <x v="8"/>
    <n v="30716939762"/>
    <s v="Mercadería para oficina"/>
    <s v="ARS"/>
    <n v="1"/>
    <n v="60048"/>
    <n v="12610.08"/>
    <n v="0"/>
    <n v="0"/>
    <n v="0"/>
    <n v="0"/>
    <n v="0"/>
    <n v="0"/>
    <n v="0"/>
    <n v="12610.08"/>
    <n v="72658.080000000002"/>
    <n v="72658.080000000002"/>
    <n v="0"/>
    <x v="1"/>
    <m/>
    <d v="2024-10-23T00:00:00"/>
    <n v="72658.080000000002"/>
    <m/>
    <m/>
    <m/>
    <m/>
    <m/>
    <n v="0"/>
    <m/>
    <m/>
  </r>
  <r>
    <x v="3"/>
    <d v="2024-08-21T00:00:00"/>
    <s v="FAC"/>
    <s v="A"/>
    <s v="0001"/>
    <s v="00000032"/>
    <x v="14"/>
    <n v="30717419053"/>
    <s v="Aspirador de secreciones Maverick Modelo 7E-C"/>
    <s v="ARS"/>
    <n v="1"/>
    <n v="545454.54"/>
    <n v="114545.4534"/>
    <n v="0"/>
    <n v="0"/>
    <n v="0"/>
    <n v="0"/>
    <n v="0"/>
    <n v="0"/>
    <n v="0"/>
    <n v="114545.4534"/>
    <n v="659999.99340000004"/>
    <n v="659999.99340000004"/>
    <n v="0"/>
    <x v="1"/>
    <m/>
    <d v="2024-09-13T00:00:00"/>
    <n v="659999.99340000004"/>
    <m/>
    <m/>
    <m/>
    <m/>
    <m/>
    <n v="0"/>
    <m/>
    <m/>
  </r>
  <r>
    <x v="3"/>
    <d v="2024-08-21T00:00:00"/>
    <s v="FAC"/>
    <s v="A"/>
    <s v="0004"/>
    <s v="00052642"/>
    <x v="1"/>
    <n v="30708764236"/>
    <s v="Suministro oxigeno P2024-08"/>
    <s v="ARS"/>
    <n v="1"/>
    <n v="333843.59999999998"/>
    <n v="70107.155999999988"/>
    <n v="0"/>
    <n v="0"/>
    <n v="0"/>
    <n v="0"/>
    <n v="0"/>
    <n v="0"/>
    <n v="0"/>
    <n v="70107.155999999988"/>
    <n v="403950.75599999994"/>
    <n v="403950.75599999994"/>
    <n v="6676.8719999999994"/>
    <x v="1"/>
    <m/>
    <d v="2024-10-28T00:00:00"/>
    <n v="397273.88399999996"/>
    <m/>
    <m/>
    <m/>
    <m/>
    <m/>
    <n v="0"/>
    <m/>
    <m/>
  </r>
  <r>
    <x v="3"/>
    <d v="2024-08-21T00:00:00"/>
    <s v="FAC"/>
    <s v="A"/>
    <s v="0004"/>
    <s v="00052643"/>
    <x v="1"/>
    <n v="30708764236"/>
    <s v="Suministro oxigeno P2024-08"/>
    <s v="ARS"/>
    <n v="1"/>
    <n v="667687.19999999995"/>
    <n v="140214.31199999998"/>
    <n v="0"/>
    <n v="0"/>
    <n v="0"/>
    <n v="0"/>
    <n v="0"/>
    <n v="0"/>
    <n v="0"/>
    <n v="140214.31199999998"/>
    <n v="807901.51199999987"/>
    <n v="807901.51199999987"/>
    <n v="13353.743999999999"/>
    <x v="1"/>
    <m/>
    <d v="2024-10-28T00:00:00"/>
    <n v="794547.76799999992"/>
    <m/>
    <m/>
    <m/>
    <m/>
    <m/>
    <n v="0"/>
    <m/>
    <m/>
  </r>
  <r>
    <x v="3"/>
    <d v="2024-08-21T00:00:00"/>
    <s v="FAC"/>
    <s v="A"/>
    <s v="0004"/>
    <s v="00052644"/>
    <x v="1"/>
    <n v="30708764236"/>
    <s v="Suministro oxigeno P2024-08"/>
    <s v="ARS"/>
    <n v="1"/>
    <n v="667687.19999999995"/>
    <n v="140214.31199999998"/>
    <n v="0"/>
    <n v="0"/>
    <n v="0"/>
    <n v="0"/>
    <n v="0"/>
    <n v="0"/>
    <n v="0"/>
    <n v="140214.31199999998"/>
    <n v="807901.51199999987"/>
    <n v="807901.51199999987"/>
    <n v="13353.743999999999"/>
    <x v="1"/>
    <m/>
    <d v="2024-10-28T00:00:00"/>
    <n v="794547.76799999992"/>
    <m/>
    <m/>
    <m/>
    <m/>
    <m/>
    <n v="0"/>
    <m/>
    <m/>
  </r>
  <r>
    <x v="3"/>
    <d v="2024-08-21T00:00:00"/>
    <s v="FAC"/>
    <s v="A"/>
    <s v="0004"/>
    <s v="00052645"/>
    <x v="1"/>
    <n v="30708764236"/>
    <s v="Suministro oxigeno P2024-08"/>
    <s v="ARS"/>
    <n v="1"/>
    <n v="667687.19999999995"/>
    <n v="140214.31199999998"/>
    <n v="0"/>
    <n v="0"/>
    <n v="0"/>
    <n v="0"/>
    <n v="0"/>
    <n v="0"/>
    <n v="0"/>
    <n v="140214.31199999998"/>
    <n v="807901.51199999987"/>
    <n v="807901.51199999987"/>
    <n v="13353.743999999999"/>
    <x v="1"/>
    <m/>
    <d v="2024-10-28T00:00:00"/>
    <n v="794547.76799999992"/>
    <m/>
    <m/>
    <m/>
    <m/>
    <m/>
    <n v="0"/>
    <m/>
    <m/>
  </r>
  <r>
    <x v="3"/>
    <d v="2024-08-23T00:00:00"/>
    <s v="FAC"/>
    <s v="A"/>
    <s v="0004"/>
    <s v="00052674"/>
    <x v="1"/>
    <n v="30708764236"/>
    <s v="Suministro oxigeno P2024-08"/>
    <s v="ARS"/>
    <n v="1"/>
    <n v="667687.19999999995"/>
    <n v="140214.31199999998"/>
    <n v="0"/>
    <n v="0"/>
    <n v="0"/>
    <n v="0"/>
    <n v="0"/>
    <n v="0"/>
    <n v="0"/>
    <n v="140214.31199999998"/>
    <n v="807901.51199999987"/>
    <n v="807901.51199999987"/>
    <n v="13353.743999999999"/>
    <x v="1"/>
    <m/>
    <d v="2024-10-28T00:00:00"/>
    <n v="794547.76799999992"/>
    <m/>
    <m/>
    <m/>
    <m/>
    <m/>
    <n v="0"/>
    <m/>
    <m/>
  </r>
  <r>
    <x v="3"/>
    <d v="2024-08-26T00:00:00"/>
    <s v="FAC"/>
    <s v="A"/>
    <s v="0003"/>
    <s v="00079741"/>
    <x v="6"/>
    <n v="33710842499"/>
    <s v="Insumos de Farmacia"/>
    <s v="ARS"/>
    <n v="1"/>
    <n v="74476.86"/>
    <n v="15640.140599999999"/>
    <n v="0"/>
    <n v="0"/>
    <n v="0"/>
    <n v="0"/>
    <n v="0"/>
    <n v="0"/>
    <n v="0"/>
    <n v="15640.140599999999"/>
    <n v="90117.000599999999"/>
    <n v="90117.000599999999"/>
    <m/>
    <x v="0"/>
    <m/>
    <m/>
    <m/>
    <m/>
    <m/>
    <m/>
    <m/>
    <m/>
    <m/>
    <m/>
    <m/>
  </r>
  <r>
    <x v="3"/>
    <d v="2024-08-26T00:00:00"/>
    <s v="FAC"/>
    <s v="A"/>
    <s v="0004"/>
    <s v="00005449"/>
    <x v="15"/>
    <n v="30716688735"/>
    <s v="Insumos de Farmacia"/>
    <s v="ARS"/>
    <n v="1"/>
    <n v="41211.57"/>
    <n v="8654.4296999999988"/>
    <n v="0"/>
    <n v="0"/>
    <n v="0"/>
    <n v="0"/>
    <n v="0"/>
    <n v="0"/>
    <n v="0"/>
    <n v="8654.4296999999988"/>
    <n v="49865.9997"/>
    <n v="49865.9997"/>
    <n v="0"/>
    <x v="1"/>
    <m/>
    <d v="2024-11-08T00:00:00"/>
    <n v="49865.9997"/>
    <m/>
    <m/>
    <m/>
    <m/>
    <m/>
    <n v="0"/>
    <m/>
    <m/>
  </r>
  <r>
    <x v="3"/>
    <d v="2024-08-30T00:00:00"/>
    <s v="FAC"/>
    <s v="A"/>
    <s v="0003"/>
    <s v="00079839"/>
    <x v="6"/>
    <n v="33710842499"/>
    <s v="Insumos de Farmacia"/>
    <s v="ARS"/>
    <n v="1"/>
    <n v="104915.68"/>
    <n v="22032.292799999999"/>
    <n v="0"/>
    <n v="0"/>
    <n v="0"/>
    <n v="0"/>
    <n v="0"/>
    <n v="0"/>
    <n v="0"/>
    <n v="22032.292799999999"/>
    <n v="126947.97279999999"/>
    <n v="126947.97279999999"/>
    <m/>
    <x v="0"/>
    <m/>
    <m/>
    <m/>
    <m/>
    <m/>
    <m/>
    <m/>
    <m/>
    <m/>
    <m/>
    <m/>
  </r>
  <r>
    <x v="3"/>
    <d v="2024-08-30T00:00:00"/>
    <s v="FAC"/>
    <s v="C"/>
    <s v="0003"/>
    <s v="00000082"/>
    <x v="16"/>
    <n v="20306364945"/>
    <s v="Servicios y ventas de Insumos medicos"/>
    <s v="ARS"/>
    <n v="1"/>
    <n v="5300000"/>
    <n v="0"/>
    <n v="0"/>
    <n v="0"/>
    <n v="0"/>
    <n v="0"/>
    <n v="0"/>
    <n v="0"/>
    <n v="0"/>
    <n v="0"/>
    <n v="5300000"/>
    <n v="5300000"/>
    <n v="0"/>
    <x v="1"/>
    <m/>
    <d v="2024-10-22T00:00:00"/>
    <n v="2650000"/>
    <m/>
    <m/>
    <m/>
    <m/>
    <m/>
    <n v="0"/>
    <m/>
    <m/>
  </r>
  <r>
    <x v="3"/>
    <d v="2024-08-31T00:00:00"/>
    <s v="FAC"/>
    <s v="A"/>
    <s v="0006"/>
    <s v="00023317"/>
    <x v="17"/>
    <n v="30663625485"/>
    <s v="Servicio Recoleccion Residuos Patogenos P2024-08"/>
    <s v="ARS"/>
    <n v="1"/>
    <n v="1629406.74"/>
    <n v="342175.4154"/>
    <n v="0"/>
    <n v="0"/>
    <n v="0"/>
    <n v="0"/>
    <n v="0"/>
    <n v="0"/>
    <n v="0"/>
    <n v="342175.4154"/>
    <n v="1971582.1554"/>
    <n v="1971582.1554"/>
    <n v="31255.48"/>
    <x v="1"/>
    <m/>
    <d v="2024-10-05T00:00:00"/>
    <n v="1940326.6754000001"/>
    <m/>
    <m/>
    <m/>
    <m/>
    <m/>
    <n v="0"/>
    <m/>
    <m/>
  </r>
  <r>
    <x v="3"/>
    <d v="2024-08-31T00:00:00"/>
    <s v="FAC"/>
    <s v="A"/>
    <s v="0004"/>
    <s v="00052737"/>
    <x v="1"/>
    <n v="30708764236"/>
    <s v="Suministro oxigeno P2024-08"/>
    <s v="ARS"/>
    <n v="1"/>
    <n v="333843.59999999998"/>
    <n v="70107.155999999988"/>
    <n v="0"/>
    <n v="0"/>
    <n v="0"/>
    <n v="0"/>
    <n v="0"/>
    <n v="0"/>
    <n v="0"/>
    <n v="70107.155999999988"/>
    <n v="403950.75599999994"/>
    <n v="403950.75599999994"/>
    <n v="6676.8719999999994"/>
    <x v="1"/>
    <m/>
    <d v="2024-10-28T00:00:00"/>
    <n v="397273.88399999996"/>
    <m/>
    <m/>
    <m/>
    <m/>
    <m/>
    <n v="0"/>
    <m/>
    <m/>
  </r>
  <r>
    <x v="3"/>
    <d v="2024-08-31T00:00:00"/>
    <s v="FAC"/>
    <s v="A"/>
    <s v="0004"/>
    <s v="00052741"/>
    <x v="1"/>
    <n v="30708764236"/>
    <s v="Suministro oxigeno P2024-08"/>
    <s v="ARS"/>
    <n v="1"/>
    <n v="667687.19999999995"/>
    <n v="140214.31199999998"/>
    <n v="0"/>
    <n v="0"/>
    <n v="0"/>
    <n v="0"/>
    <n v="0"/>
    <n v="0"/>
    <n v="0"/>
    <n v="140214.31199999998"/>
    <n v="807901.51199999987"/>
    <n v="807901.51199999987"/>
    <n v="13353.743999999999"/>
    <x v="1"/>
    <m/>
    <d v="2024-10-28T00:00:00"/>
    <n v="794547.76799999992"/>
    <m/>
    <m/>
    <m/>
    <m/>
    <m/>
    <n v="0"/>
    <m/>
    <m/>
  </r>
  <r>
    <x v="3"/>
    <d v="2024-08-31T00:00:00"/>
    <s v="FAC"/>
    <s v="A"/>
    <s v="0004"/>
    <s v="00052746"/>
    <x v="1"/>
    <n v="30708764236"/>
    <s v="Suministro oxigeno P2024-08"/>
    <s v="ARS"/>
    <n v="1"/>
    <n v="667687.19999999995"/>
    <n v="140214.31199999998"/>
    <n v="0"/>
    <n v="0"/>
    <n v="0"/>
    <n v="0"/>
    <n v="0"/>
    <n v="0"/>
    <n v="0"/>
    <n v="140214.31199999998"/>
    <n v="807901.51199999987"/>
    <n v="807901.51199999987"/>
    <n v="13353.743999999999"/>
    <x v="1"/>
    <m/>
    <d v="2024-10-28T00:00:00"/>
    <n v="794547.76799999992"/>
    <m/>
    <m/>
    <m/>
    <m/>
    <m/>
    <n v="0"/>
    <m/>
    <m/>
  </r>
  <r>
    <x v="3"/>
    <d v="2024-08-31T00:00:00"/>
    <s v="FAC"/>
    <s v="A"/>
    <s v="0004"/>
    <s v="00052791"/>
    <x v="1"/>
    <n v="30708764236"/>
    <s v="Alquiler Uso Tubo y Termo Medicinal P2024-08"/>
    <s v="ARS"/>
    <n v="1"/>
    <n v="216467.4"/>
    <n v="45458.153999999995"/>
    <n v="0"/>
    <n v="0"/>
    <n v="0"/>
    <n v="0"/>
    <n v="0"/>
    <n v="0"/>
    <n v="0"/>
    <n v="45458.153999999995"/>
    <n v="261925.554"/>
    <n v="261925.554"/>
    <n v="12988.044"/>
    <x v="1"/>
    <m/>
    <d v="2024-10-28T00:00:00"/>
    <n v="248937.51"/>
    <m/>
    <m/>
    <m/>
    <m/>
    <m/>
    <n v="0"/>
    <m/>
    <m/>
  </r>
  <r>
    <x v="4"/>
    <d v="2024-09-01T00:00:00"/>
    <s v="A cuenta"/>
    <m/>
    <m/>
    <m/>
    <x v="4"/>
    <m/>
    <s v="Honorarios Agosto 2024"/>
    <s v="ARS"/>
    <n v="1"/>
    <n v="400000"/>
    <n v="0"/>
    <n v="0"/>
    <n v="0"/>
    <n v="0"/>
    <n v="0"/>
    <n v="0"/>
    <n v="0"/>
    <n v="0"/>
    <n v="0"/>
    <n v="400000"/>
    <n v="400000"/>
    <n v="0"/>
    <x v="1"/>
    <m/>
    <d v="2024-11-06T00:00:00"/>
    <n v="0"/>
    <m/>
    <m/>
    <m/>
    <m/>
    <m/>
    <n v="400000"/>
    <m/>
    <m/>
  </r>
  <r>
    <x v="4"/>
    <d v="2024-09-02T00:00:00"/>
    <s v="FAC"/>
    <s v="A"/>
    <s v="0021"/>
    <s v="00000414"/>
    <x v="18"/>
    <n v="30716375184"/>
    <s v="Mercadería para oficina"/>
    <s v="ARS"/>
    <n v="1"/>
    <n v="17941.75"/>
    <n v="3767.77"/>
    <n v="0"/>
    <n v="0"/>
    <n v="0"/>
    <n v="0"/>
    <n v="0"/>
    <n v="0"/>
    <n v="0"/>
    <n v="3767.77"/>
    <n v="21709.52"/>
    <n v="21709.52"/>
    <m/>
    <x v="1"/>
    <m/>
    <m/>
    <n v="0"/>
    <m/>
    <m/>
    <m/>
    <m/>
    <m/>
    <n v="21709.52"/>
    <m/>
    <m/>
  </r>
  <r>
    <x v="4"/>
    <d v="2024-09-02T00:00:00"/>
    <s v="FAC"/>
    <s v="A"/>
    <s v="0021"/>
    <s v="00000413"/>
    <x v="18"/>
    <n v="30716375184"/>
    <s v="Mercadería para oficina"/>
    <s v="ARS"/>
    <n v="1"/>
    <n v="4462.79"/>
    <n v="937.18"/>
    <n v="0"/>
    <n v="0"/>
    <n v="0"/>
    <n v="0"/>
    <n v="0"/>
    <n v="0"/>
    <n v="0"/>
    <n v="937.18"/>
    <n v="5399.97"/>
    <n v="5399.97"/>
    <m/>
    <x v="1"/>
    <m/>
    <m/>
    <n v="0"/>
    <m/>
    <m/>
    <m/>
    <m/>
    <m/>
    <n v="5399.97"/>
    <m/>
    <m/>
  </r>
  <r>
    <x v="4"/>
    <d v="2024-09-02T00:00:00"/>
    <s v="FAC"/>
    <s v="A"/>
    <s v="0003"/>
    <s v="00004838"/>
    <x v="19"/>
    <n v="27161287305"/>
    <s v="Accesorios reparacion sanitarios"/>
    <s v="ARS"/>
    <n v="1"/>
    <n v="4049.57"/>
    <n v="850.41"/>
    <n v="0"/>
    <n v="0"/>
    <n v="0"/>
    <n v="0"/>
    <n v="0"/>
    <n v="0"/>
    <n v="0"/>
    <n v="850.41"/>
    <n v="4899.9800000000005"/>
    <n v="4899.9800000000005"/>
    <m/>
    <x v="1"/>
    <m/>
    <m/>
    <n v="0"/>
    <m/>
    <m/>
    <m/>
    <m/>
    <m/>
    <n v="4899.9800000000005"/>
    <m/>
    <m/>
  </r>
  <r>
    <x v="4"/>
    <d v="2024-09-02T00:00:00"/>
    <s v="FAC"/>
    <s v="A"/>
    <s v="0172"/>
    <s v="00012199"/>
    <x v="20"/>
    <n v="30673770483"/>
    <s v="Mercadería para oficina"/>
    <s v="ARS"/>
    <n v="1"/>
    <n v="21447.439999999999"/>
    <n v="4503.96"/>
    <n v="0"/>
    <n v="0"/>
    <n v="0"/>
    <n v="0"/>
    <n v="0"/>
    <n v="772.10784000000001"/>
    <n v="0"/>
    <n v="4503.96"/>
    <n v="26723.507839999998"/>
    <n v="26723.507839999998"/>
    <m/>
    <x v="1"/>
    <m/>
    <m/>
    <n v="0"/>
    <m/>
    <m/>
    <m/>
    <m/>
    <m/>
    <n v="26723.507839999998"/>
    <m/>
    <m/>
  </r>
  <r>
    <x v="4"/>
    <d v="2024-09-02T00:00:00"/>
    <s v="FAC"/>
    <s v="A"/>
    <s v="0004"/>
    <s v="00002140"/>
    <x v="21"/>
    <n v="20218534105"/>
    <s v="Fotocopias - Insumos de librería y oficina"/>
    <s v="ARS"/>
    <n v="1"/>
    <n v="22600"/>
    <n v="4746"/>
    <n v="0"/>
    <n v="0"/>
    <n v="0"/>
    <n v="0"/>
    <n v="0"/>
    <n v="0"/>
    <n v="0"/>
    <n v="4746"/>
    <n v="27346"/>
    <n v="27346"/>
    <m/>
    <x v="1"/>
    <m/>
    <m/>
    <n v="0"/>
    <m/>
    <m/>
    <m/>
    <m/>
    <m/>
    <n v="27346"/>
    <m/>
    <m/>
  </r>
  <r>
    <x v="4"/>
    <d v="2024-09-02T00:00:00"/>
    <s v="FAC"/>
    <s v="A"/>
    <s v="0003"/>
    <s v="00006211"/>
    <x v="22"/>
    <n v="33716385359"/>
    <s v="Insumos de Farmacia"/>
    <s v="ARS"/>
    <n v="1"/>
    <n v="571000"/>
    <n v="119910"/>
    <n v="0"/>
    <n v="0"/>
    <n v="0"/>
    <n v="2498850.04"/>
    <n v="0"/>
    <n v="104664.6"/>
    <n v="0"/>
    <n v="119910"/>
    <n v="3294424.64"/>
    <n v="3294424.64"/>
    <n v="0"/>
    <x v="1"/>
    <m/>
    <d v="2024-10-18T00:00:00"/>
    <m/>
    <m/>
    <m/>
    <m/>
    <m/>
    <m/>
    <m/>
    <m/>
    <s v="CH 30 y 60"/>
  </r>
  <r>
    <x v="4"/>
    <d v="2024-09-02T00:00:00"/>
    <s v="FAC"/>
    <s v="A"/>
    <s v="0005"/>
    <s v="00002098"/>
    <x v="23"/>
    <n v="30709242004"/>
    <s v="Insumos de limpieza y desinfeccion"/>
    <s v="ARS"/>
    <n v="1"/>
    <n v="4793.3900000000003"/>
    <n v="1006.6119"/>
    <n v="0"/>
    <n v="0"/>
    <n v="0"/>
    <n v="0"/>
    <n v="0"/>
    <n v="0"/>
    <n v="0"/>
    <n v="1006.6119"/>
    <n v="5800.0019000000002"/>
    <n v="5800.0019000000002"/>
    <m/>
    <x v="1"/>
    <m/>
    <m/>
    <n v="0"/>
    <m/>
    <m/>
    <m/>
    <m/>
    <m/>
    <n v="5800.0019000000002"/>
    <m/>
    <m/>
  </r>
  <r>
    <x v="4"/>
    <d v="2024-09-02T00:00:00"/>
    <s v="FAC"/>
    <s v="A"/>
    <s v="0002"/>
    <s v="00022424"/>
    <x v="3"/>
    <n v="30715721461"/>
    <s v="Suministro de agua P2024-09"/>
    <s v="ARS"/>
    <n v="1"/>
    <n v="45000"/>
    <n v="9450"/>
    <n v="0"/>
    <n v="0"/>
    <n v="0"/>
    <n v="0"/>
    <n v="0"/>
    <n v="0"/>
    <n v="0"/>
    <n v="9450"/>
    <n v="54450"/>
    <n v="54450"/>
    <m/>
    <x v="1"/>
    <m/>
    <d v="2024-10-05T00:00:00"/>
    <n v="54450"/>
    <m/>
    <m/>
    <m/>
    <m/>
    <m/>
    <n v="0"/>
    <m/>
    <m/>
  </r>
  <r>
    <x v="4"/>
    <d v="2024-09-02T00:00:00"/>
    <s v="FAC"/>
    <s v="A"/>
    <s v="0001"/>
    <s v="00000746"/>
    <x v="24"/>
    <n v="30716190311"/>
    <s v="Servicio Mantenimiento Sistema Freya P2024-09"/>
    <s v="ARS"/>
    <n v="1"/>
    <n v="1260000"/>
    <n v="264600"/>
    <n v="0"/>
    <n v="0"/>
    <n v="0"/>
    <n v="0"/>
    <n v="0"/>
    <n v="0"/>
    <n v="0"/>
    <n v="264600"/>
    <n v="1524600"/>
    <n v="1524600"/>
    <n v="0"/>
    <x v="1"/>
    <m/>
    <d v="2024-09-26T00:00:00"/>
    <n v="1524600"/>
    <m/>
    <m/>
    <m/>
    <m/>
    <m/>
    <n v="0"/>
    <m/>
    <m/>
  </r>
  <r>
    <x v="4"/>
    <d v="2024-09-03T00:00:00"/>
    <s v="FAC"/>
    <s v="A"/>
    <s v="0007"/>
    <s v="00000029"/>
    <x v="25"/>
    <n v="27057859755"/>
    <s v="Alquiler mensual agosto 2024"/>
    <s v="ARS"/>
    <n v="1"/>
    <n v="2704000"/>
    <n v="567840"/>
    <n v="0"/>
    <n v="0"/>
    <n v="0"/>
    <n v="0"/>
    <n v="0"/>
    <n v="0"/>
    <n v="0"/>
    <n v="567840"/>
    <n v="3271840"/>
    <n v="3271840"/>
    <n v="0"/>
    <x v="1"/>
    <m/>
    <d v="2024-08-22T00:00:00"/>
    <n v="3271840"/>
    <m/>
    <m/>
    <m/>
    <m/>
    <m/>
    <n v="0"/>
    <m/>
    <m/>
  </r>
  <r>
    <x v="4"/>
    <d v="2024-09-03T00:00:00"/>
    <s v="FAC"/>
    <s v="A"/>
    <s v="0004"/>
    <s v="00000078"/>
    <x v="26"/>
    <n v="30717926966"/>
    <s v="Descartables - toallas"/>
    <s v="ARS"/>
    <n v="1"/>
    <n v="218181.9"/>
    <n v="45818.2"/>
    <n v="0"/>
    <n v="0"/>
    <n v="0"/>
    <n v="0"/>
    <n v="0"/>
    <n v="0"/>
    <n v="0"/>
    <n v="45818.2"/>
    <n v="264000.09999999998"/>
    <n v="264000.09999999998"/>
    <n v="0"/>
    <x v="1"/>
    <m/>
    <d v="2024-10-03T00:00:00"/>
    <n v="264000.09999999998"/>
    <m/>
    <m/>
    <m/>
    <m/>
    <m/>
    <n v="0"/>
    <m/>
    <m/>
  </r>
  <r>
    <x v="4"/>
    <d v="2024-09-03T00:00:00"/>
    <s v="FAC"/>
    <s v="C"/>
    <s v="0002"/>
    <s v="00001797"/>
    <x v="27"/>
    <n v="20105424605"/>
    <s v="Fotocopias - Insumos de librería y oficina"/>
    <s v="ARS"/>
    <n v="1"/>
    <n v="6390"/>
    <n v="0"/>
    <n v="0"/>
    <n v="0"/>
    <n v="0"/>
    <n v="0"/>
    <n v="0"/>
    <n v="0"/>
    <n v="0"/>
    <n v="0"/>
    <n v="6390"/>
    <n v="6390"/>
    <m/>
    <x v="1"/>
    <m/>
    <m/>
    <n v="0"/>
    <m/>
    <m/>
    <m/>
    <m/>
    <m/>
    <n v="6390"/>
    <m/>
    <m/>
  </r>
  <r>
    <x v="4"/>
    <d v="2024-09-03T00:00:00"/>
    <s v="FAC"/>
    <s v="A"/>
    <s v="0003"/>
    <s v="00002162"/>
    <x v="5"/>
    <n v="30714721301"/>
    <s v="Suministro mensual oxigeno P2024-08"/>
    <s v="ARS"/>
    <n v="1"/>
    <n v="1565281.13"/>
    <n v="328709.03729999997"/>
    <n v="0"/>
    <n v="0"/>
    <n v="0"/>
    <n v="0"/>
    <n v="0"/>
    <n v="56350.12068"/>
    <n v="0"/>
    <n v="328709.03729999997"/>
    <n v="1950340.2879799998"/>
    <n v="1950340.2879799998"/>
    <n v="26825.622599999999"/>
    <x v="1"/>
    <m/>
    <d v="2024-11-11T00:00:00"/>
    <n v="1923514.6653799999"/>
    <m/>
    <m/>
    <m/>
    <m/>
    <m/>
    <n v="0"/>
    <m/>
    <m/>
  </r>
  <r>
    <x v="4"/>
    <d v="2024-09-04T00:00:00"/>
    <s v="FAC"/>
    <s v="A"/>
    <s v="0004"/>
    <s v="00000658"/>
    <x v="28"/>
    <n v="20138455654"/>
    <s v="Toner Alternativo"/>
    <s v="ARS"/>
    <n v="1"/>
    <n v="5537.19"/>
    <n v="1162.81"/>
    <n v="0"/>
    <n v="0"/>
    <n v="0"/>
    <n v="0"/>
    <n v="0"/>
    <n v="0"/>
    <n v="0"/>
    <n v="1162.81"/>
    <n v="6700"/>
    <n v="6700"/>
    <n v="0"/>
    <x v="1"/>
    <m/>
    <m/>
    <n v="0"/>
    <m/>
    <m/>
    <m/>
    <m/>
    <m/>
    <n v="6700"/>
    <m/>
    <m/>
  </r>
  <r>
    <x v="4"/>
    <d v="2024-09-04T00:00:00"/>
    <s v="FAC"/>
    <s v="A"/>
    <s v="0101"/>
    <s v="01453000"/>
    <x v="29"/>
    <n v="30690633635"/>
    <s v="Suministro de luz mensual P2024-08 (Factura a nombre de CHAHLE)"/>
    <s v="ARS"/>
    <n v="1"/>
    <n v="1893690.42"/>
    <n v="0"/>
    <n v="0"/>
    <n v="493068.88"/>
    <n v="0"/>
    <n v="0"/>
    <n v="0"/>
    <n v="0"/>
    <n v="152859.99"/>
    <n v="493068.88"/>
    <n v="2539619.29"/>
    <n v="2539619.29"/>
    <n v="0"/>
    <x v="1"/>
    <m/>
    <d v="2024-09-25T00:00:00"/>
    <n v="2539619.29"/>
    <m/>
    <m/>
    <m/>
    <m/>
    <m/>
    <n v="0"/>
    <m/>
    <m/>
  </r>
  <r>
    <x v="4"/>
    <d v="2024-09-04T00:00:00"/>
    <s v="FAC"/>
    <s v="A"/>
    <s v="0003"/>
    <s v="00006222"/>
    <x v="22"/>
    <n v="33716385359"/>
    <s v="Insumos de Farmacia"/>
    <s v="ARS"/>
    <n v="1"/>
    <n v="0"/>
    <n v="0"/>
    <n v="0"/>
    <n v="0"/>
    <n v="0"/>
    <n v="64000"/>
    <n v="0"/>
    <n v="2304.0000000000005"/>
    <n v="0"/>
    <n v="0"/>
    <n v="66304"/>
    <n v="66304"/>
    <n v="0"/>
    <x v="1"/>
    <m/>
    <d v="2024-10-18T00:00:00"/>
    <m/>
    <m/>
    <m/>
    <m/>
    <m/>
    <m/>
    <m/>
    <m/>
    <s v="CH 30 y 60"/>
  </r>
  <r>
    <x v="4"/>
    <d v="2024-09-04T00:00:00"/>
    <s v="FAC"/>
    <s v="A"/>
    <s v="0006"/>
    <s v="00000824"/>
    <x v="9"/>
    <n v="20233929035"/>
    <s v="Insumos de Lavandería y Limpieza"/>
    <s v="ARS"/>
    <n v="1"/>
    <n v="261952.27"/>
    <n v="55009.97"/>
    <n v="0"/>
    <n v="0"/>
    <n v="0"/>
    <n v="0"/>
    <n v="0"/>
    <n v="0"/>
    <n v="0"/>
    <n v="55009.97"/>
    <n v="316962.24"/>
    <n v="316962.24"/>
    <n v="759.05"/>
    <x v="1"/>
    <m/>
    <d v="2024-10-05T00:00:00"/>
    <n v="316203.19"/>
    <m/>
    <m/>
    <m/>
    <m/>
    <m/>
    <n v="0"/>
    <m/>
    <m/>
  </r>
  <r>
    <x v="4"/>
    <d v="2024-09-04T00:00:00"/>
    <s v="FAC"/>
    <s v="A"/>
    <s v="0006"/>
    <s v="00000825"/>
    <x v="9"/>
    <n v="20233929035"/>
    <s v="Insumos de Lavandería y Limpieza"/>
    <s v="ARS"/>
    <n v="1"/>
    <n v="37487.61"/>
    <n v="7872.4"/>
    <n v="0"/>
    <n v="0"/>
    <n v="0"/>
    <n v="0"/>
    <n v="0"/>
    <n v="0"/>
    <n v="0"/>
    <n v="7872.4"/>
    <n v="45360.01"/>
    <n v="45360.01"/>
    <n v="749.75"/>
    <x v="1"/>
    <m/>
    <d v="2024-10-05T00:00:00"/>
    <n v="44610.26"/>
    <m/>
    <m/>
    <m/>
    <m/>
    <m/>
    <n v="0"/>
    <m/>
    <m/>
  </r>
  <r>
    <x v="4"/>
    <d v="2024-09-04T00:00:00"/>
    <s v="FAC"/>
    <s v="B"/>
    <s v="0011"/>
    <s v="00125495"/>
    <x v="30"/>
    <n v="30711372322"/>
    <s v="Gastos Sin Factura"/>
    <s v="ARS"/>
    <n v="1"/>
    <n v="25200"/>
    <n v="0"/>
    <n v="0"/>
    <n v="0"/>
    <n v="0"/>
    <n v="0"/>
    <n v="0"/>
    <n v="0"/>
    <n v="0"/>
    <n v="0"/>
    <n v="25200"/>
    <n v="25200"/>
    <m/>
    <x v="1"/>
    <m/>
    <m/>
    <n v="0"/>
    <m/>
    <m/>
    <m/>
    <m/>
    <m/>
    <n v="25200"/>
    <m/>
    <m/>
  </r>
  <r>
    <x v="4"/>
    <d v="2024-09-04T00:00:00"/>
    <s v="FAC"/>
    <s v="A"/>
    <s v="0004"/>
    <s v="00002946"/>
    <x v="7"/>
    <n v="20126068450"/>
    <s v="Alquiler digitalizador Agosto 2024"/>
    <s v="USD"/>
    <n v="973"/>
    <n v="700"/>
    <n v="147"/>
    <n v="0"/>
    <n v="0"/>
    <n v="0"/>
    <n v="0"/>
    <n v="0"/>
    <n v="25.200000000000003"/>
    <n v="17.5"/>
    <n v="147"/>
    <n v="889.7"/>
    <n v="889.7"/>
    <n v="0"/>
    <x v="0"/>
    <m/>
    <m/>
    <m/>
    <m/>
    <m/>
    <m/>
    <m/>
    <m/>
    <m/>
    <m/>
    <m/>
  </r>
  <r>
    <x v="4"/>
    <d v="2024-09-04T00:00:00"/>
    <s v="FAC"/>
    <s v="B"/>
    <s v="0011"/>
    <s v="00125495"/>
    <x v="31"/>
    <n v="30716633949"/>
    <s v="Gastos Sin Factura"/>
    <s v="ARS"/>
    <n v="1"/>
    <n v="2000"/>
    <n v="0"/>
    <n v="0"/>
    <n v="0"/>
    <n v="0"/>
    <n v="0"/>
    <n v="0"/>
    <n v="0"/>
    <n v="0"/>
    <n v="0"/>
    <n v="2000"/>
    <n v="2000"/>
    <m/>
    <x v="1"/>
    <m/>
    <m/>
    <n v="0"/>
    <m/>
    <m/>
    <m/>
    <m/>
    <m/>
    <n v="2000"/>
    <m/>
    <m/>
  </r>
  <r>
    <x v="4"/>
    <d v="2024-09-05T00:00:00"/>
    <s v="FAC"/>
    <s v="A"/>
    <s v="0021"/>
    <s v="00000418"/>
    <x v="18"/>
    <n v="30716375184"/>
    <s v="Mercadería para oficina"/>
    <s v="ARS"/>
    <n v="1"/>
    <n v="5100.2"/>
    <n v="1071.04"/>
    <n v="0"/>
    <n v="0"/>
    <n v="0"/>
    <n v="0"/>
    <n v="0"/>
    <n v="0"/>
    <n v="0"/>
    <n v="1071.04"/>
    <n v="6171.24"/>
    <n v="6171.24"/>
    <m/>
    <x v="1"/>
    <m/>
    <m/>
    <n v="0"/>
    <m/>
    <m/>
    <m/>
    <m/>
    <m/>
    <n v="6171.24"/>
    <m/>
    <m/>
  </r>
  <r>
    <x v="4"/>
    <d v="2024-09-05T00:00:00"/>
    <s v="FAC"/>
    <s v="C"/>
    <s v="0003"/>
    <s v="00000021"/>
    <x v="32"/>
    <n v="27368038321"/>
    <s v="Direccion de obra mensual"/>
    <s v="ARS"/>
    <n v="1"/>
    <n v="400000"/>
    <n v="0"/>
    <n v="0"/>
    <n v="0"/>
    <n v="0"/>
    <n v="0"/>
    <n v="0"/>
    <n v="0"/>
    <n v="0"/>
    <n v="0"/>
    <n v="400000"/>
    <n v="400000"/>
    <m/>
    <x v="1"/>
    <m/>
    <d v="2024-09-13T00:00:00"/>
    <n v="400000"/>
    <m/>
    <m/>
    <m/>
    <m/>
    <m/>
    <n v="0"/>
    <m/>
    <m/>
  </r>
  <r>
    <x v="4"/>
    <d v="2024-09-05T00:00:00"/>
    <s v="FAC"/>
    <s v="A"/>
    <s v="0004"/>
    <s v="00000660"/>
    <x v="28"/>
    <n v="20138455654"/>
    <s v="Toner Alternativo"/>
    <s v="ARS"/>
    <n v="1"/>
    <n v="5537.19"/>
    <n v="1162.81"/>
    <n v="0"/>
    <n v="0"/>
    <n v="0"/>
    <n v="0"/>
    <n v="0"/>
    <n v="0"/>
    <n v="0"/>
    <n v="1162.81"/>
    <n v="6700"/>
    <n v="6700"/>
    <n v="0"/>
    <x v="1"/>
    <m/>
    <m/>
    <n v="0"/>
    <m/>
    <m/>
    <m/>
    <m/>
    <m/>
    <n v="6700"/>
    <m/>
    <m/>
  </r>
  <r>
    <x v="4"/>
    <d v="2024-09-05T00:00:00"/>
    <s v="FAC"/>
    <s v="C"/>
    <s v="0001"/>
    <s v="00000124"/>
    <x v="33"/>
    <n v="27958564061"/>
    <s v="Honorarios Medicos P2024-08"/>
    <s v="ARS"/>
    <n v="1"/>
    <n v="200000"/>
    <n v="0"/>
    <n v="0"/>
    <n v="0"/>
    <n v="0"/>
    <n v="0"/>
    <n v="0"/>
    <n v="0"/>
    <n v="0"/>
    <n v="0"/>
    <n v="200000"/>
    <n v="200000"/>
    <m/>
    <x v="1"/>
    <m/>
    <d v="2024-09-06T00:00:00"/>
    <n v="200000"/>
    <m/>
    <m/>
    <m/>
    <m/>
    <m/>
    <n v="0"/>
    <m/>
    <m/>
  </r>
  <r>
    <x v="4"/>
    <d v="2024-09-05T00:00:00"/>
    <s v="FAC"/>
    <s v="C"/>
    <s v="0002"/>
    <s v="00001803"/>
    <x v="27"/>
    <n v="20105424605"/>
    <s v="Fotocopias - Insumos de librería y oficina"/>
    <s v="ARS"/>
    <n v="1"/>
    <n v="8280"/>
    <n v="0"/>
    <n v="0"/>
    <n v="0"/>
    <n v="0"/>
    <n v="0"/>
    <n v="0"/>
    <n v="0"/>
    <n v="0"/>
    <n v="0"/>
    <n v="8280"/>
    <n v="8280"/>
    <m/>
    <x v="1"/>
    <m/>
    <m/>
    <n v="0"/>
    <m/>
    <m/>
    <m/>
    <m/>
    <m/>
    <n v="8280"/>
    <m/>
    <m/>
  </r>
  <r>
    <x v="4"/>
    <d v="2024-09-05T00:00:00"/>
    <s v="FAC"/>
    <s v="A"/>
    <s v="0016"/>
    <s v="00043672"/>
    <x v="34"/>
    <n v="30711794286"/>
    <s v="Insumos de Lavandería y Limpieza"/>
    <s v="ARS"/>
    <n v="1"/>
    <n v="28859.5"/>
    <n v="6060.5"/>
    <n v="0"/>
    <n v="0"/>
    <n v="0"/>
    <n v="0"/>
    <n v="0"/>
    <n v="0"/>
    <n v="0"/>
    <n v="6060.5"/>
    <n v="34920"/>
    <n v="34920"/>
    <m/>
    <x v="1"/>
    <m/>
    <m/>
    <n v="0"/>
    <m/>
    <m/>
    <m/>
    <m/>
    <m/>
    <n v="34920"/>
    <m/>
    <m/>
  </r>
  <r>
    <x v="4"/>
    <d v="2024-09-05T00:00:00"/>
    <s v="FAC"/>
    <s v="A"/>
    <s v="0003"/>
    <s v="00000194"/>
    <x v="35"/>
    <n v="33631274329"/>
    <s v="Reparacion de ascensor - Cambio de rueda"/>
    <s v="ARS"/>
    <n v="1"/>
    <n v="42200"/>
    <n v="8862"/>
    <n v="0"/>
    <n v="0"/>
    <n v="0"/>
    <n v="0"/>
    <n v="0"/>
    <n v="1519.2000000000003"/>
    <n v="0"/>
    <n v="8862"/>
    <n v="52581.2"/>
    <n v="52581.2"/>
    <m/>
    <x v="0"/>
    <m/>
    <m/>
    <m/>
    <m/>
    <m/>
    <m/>
    <m/>
    <m/>
    <m/>
    <m/>
    <m/>
  </r>
  <r>
    <x v="4"/>
    <d v="2024-09-05T00:00:00"/>
    <s v="FAC"/>
    <s v="A"/>
    <s v="0003"/>
    <s v="00000195"/>
    <x v="35"/>
    <n v="33631274329"/>
    <s v="Reparacion de ascensor - Cambio de correderas, ruedas, guiadores, etc"/>
    <s v="ARS"/>
    <n v="1"/>
    <n v="727150"/>
    <n v="152701.5"/>
    <n v="0"/>
    <n v="0"/>
    <n v="0"/>
    <n v="0"/>
    <n v="0"/>
    <n v="26177.4"/>
    <n v="0"/>
    <n v="152701.5"/>
    <n v="906028.9"/>
    <n v="906028.9"/>
    <m/>
    <x v="0"/>
    <m/>
    <m/>
    <m/>
    <m/>
    <m/>
    <m/>
    <m/>
    <m/>
    <m/>
    <m/>
    <m/>
  </r>
  <r>
    <x v="4"/>
    <d v="2024-09-05T00:00:00"/>
    <s v="FAC"/>
    <s v="C"/>
    <s v="0003"/>
    <s v="00000246"/>
    <x v="0"/>
    <n v="20139171927"/>
    <s v="Mantenimiento de ascensores P2024-08"/>
    <s v="ARS"/>
    <n v="1"/>
    <n v="12000"/>
    <n v="0"/>
    <n v="0"/>
    <n v="0"/>
    <n v="0"/>
    <n v="0"/>
    <n v="0"/>
    <n v="0"/>
    <n v="0"/>
    <n v="0"/>
    <n v="12000"/>
    <n v="12000"/>
    <m/>
    <x v="0"/>
    <m/>
    <m/>
    <m/>
    <m/>
    <m/>
    <m/>
    <m/>
    <m/>
    <m/>
    <m/>
    <m/>
  </r>
  <r>
    <x v="4"/>
    <d v="2024-09-06T00:00:00"/>
    <s v="FAC"/>
    <s v="A"/>
    <s v="0003"/>
    <s v="00006232"/>
    <x v="22"/>
    <n v="33716385359"/>
    <s v="Insumos de Farmacia"/>
    <s v="ARS"/>
    <n v="1"/>
    <n v="0"/>
    <n v="0"/>
    <n v="0"/>
    <n v="0"/>
    <n v="0"/>
    <n v="45550"/>
    <n v="0"/>
    <n v="1639.8"/>
    <n v="0"/>
    <n v="0"/>
    <n v="47189.8"/>
    <n v="47189.8"/>
    <n v="0"/>
    <x v="1"/>
    <m/>
    <d v="2024-10-18T00:00:00"/>
    <m/>
    <m/>
    <m/>
    <m/>
    <m/>
    <m/>
    <m/>
    <m/>
    <s v="CH 30 y 60"/>
  </r>
  <r>
    <x v="4"/>
    <d v="2024-09-06T00:00:00"/>
    <s v="FAC"/>
    <s v="A"/>
    <s v="0003"/>
    <s v="00006239"/>
    <x v="22"/>
    <n v="33716385359"/>
    <s v="Insumos de Farmacia"/>
    <s v="ARS"/>
    <n v="1"/>
    <n v="100000"/>
    <n v="21000"/>
    <n v="0"/>
    <n v="0"/>
    <n v="0"/>
    <n v="0"/>
    <n v="0"/>
    <n v="3600.0000000000005"/>
    <n v="0"/>
    <n v="21000"/>
    <n v="124600"/>
    <n v="124600"/>
    <n v="0"/>
    <x v="1"/>
    <m/>
    <d v="2024-10-18T00:00:00"/>
    <m/>
    <m/>
    <m/>
    <m/>
    <m/>
    <m/>
    <m/>
    <m/>
    <s v="CH 30 y 60"/>
  </r>
  <r>
    <x v="4"/>
    <d v="2024-09-06T00:00:00"/>
    <s v="FAC"/>
    <s v="A"/>
    <s v="0052"/>
    <s v="00152227"/>
    <x v="36"/>
    <n v="30716596831"/>
    <s v="Agua Mineral - COMIDA PARA BAR"/>
    <s v="ARS"/>
    <n v="1"/>
    <n v="8677.69"/>
    <n v="1822.31"/>
    <n v="0"/>
    <n v="0"/>
    <n v="0"/>
    <n v="0"/>
    <n v="0"/>
    <n v="0"/>
    <n v="0"/>
    <n v="1822.31"/>
    <n v="10500"/>
    <n v="10500"/>
    <n v="0"/>
    <x v="1"/>
    <m/>
    <m/>
    <m/>
    <m/>
    <m/>
    <m/>
    <m/>
    <m/>
    <m/>
    <m/>
    <m/>
  </r>
  <r>
    <x v="4"/>
    <d v="2024-09-06T00:00:00"/>
    <s v="N/D"/>
    <s v="A"/>
    <s v="0004"/>
    <s v="00000746"/>
    <x v="37"/>
    <n v="30580639034"/>
    <s v="Diferencia de cambio"/>
    <s v="ARS"/>
    <n v="1"/>
    <n v="34293.5"/>
    <n v="7201.6349999999993"/>
    <n v="0"/>
    <n v="0"/>
    <n v="0"/>
    <n v="0"/>
    <n v="0"/>
    <n v="0"/>
    <n v="0"/>
    <n v="7201.6349999999993"/>
    <n v="41495.135000000002"/>
    <n v="41495.135000000002"/>
    <n v="0"/>
    <x v="1"/>
    <m/>
    <d v="2024-11-27T00:00:00"/>
    <m/>
    <m/>
    <m/>
    <m/>
    <m/>
    <m/>
    <m/>
    <m/>
    <m/>
  </r>
  <r>
    <x v="4"/>
    <d v="2024-09-06T00:00:00"/>
    <s v="FAC"/>
    <s v="A"/>
    <s v="0003"/>
    <s v="00006902"/>
    <x v="38"/>
    <n v="30709462306"/>
    <s v="Lavanderia P2024-08"/>
    <s v="ARS"/>
    <n v="1"/>
    <n v="677078"/>
    <n v="142186.38"/>
    <n v="0"/>
    <n v="0"/>
    <n v="0"/>
    <n v="0"/>
    <n v="0"/>
    <n v="0"/>
    <n v="0"/>
    <n v="142186.38"/>
    <n v="819264.38"/>
    <n v="819264.38"/>
    <m/>
    <x v="1"/>
    <m/>
    <d v="2024-09-27T00:00:00"/>
    <n v="819264.38"/>
    <m/>
    <m/>
    <m/>
    <m/>
    <m/>
    <n v="0"/>
    <m/>
    <m/>
  </r>
  <r>
    <x v="4"/>
    <d v="2024-09-06T00:00:00"/>
    <s v="FAC"/>
    <s v="B"/>
    <s v="0017"/>
    <s v="00069852"/>
    <x v="39"/>
    <n v="20202328734"/>
    <s v="Insumos varios de comida"/>
    <s v="ARS"/>
    <n v="1"/>
    <n v="3680"/>
    <n v="0"/>
    <n v="0"/>
    <n v="0"/>
    <n v="0"/>
    <n v="0"/>
    <n v="0"/>
    <n v="0"/>
    <n v="0"/>
    <n v="0"/>
    <n v="3680"/>
    <n v="3680"/>
    <n v="0"/>
    <x v="1"/>
    <m/>
    <m/>
    <m/>
    <m/>
    <m/>
    <m/>
    <m/>
    <m/>
    <n v="3680"/>
    <m/>
    <m/>
  </r>
  <r>
    <x v="4"/>
    <d v="2024-09-07T00:00:00"/>
    <s v="FAC"/>
    <s v="A"/>
    <s v="3950"/>
    <s v="02569991"/>
    <x v="40"/>
    <n v="30639453738"/>
    <s v="Suministro de telefonia (Factura a nombre de CHAHLE AMALIA ROSA)"/>
    <s v="ARS"/>
    <n v="1"/>
    <n v="47051.21"/>
    <n v="0"/>
    <n v="0"/>
    <n v="3931.79"/>
    <n v="0"/>
    <n v="0"/>
    <n v="436.87"/>
    <n v="0"/>
    <n v="0"/>
    <n v="3931.79"/>
    <n v="51419.87"/>
    <n v="51419.87"/>
    <n v="0"/>
    <x v="1"/>
    <m/>
    <d v="2024-10-14T00:00:00"/>
    <n v="0"/>
    <m/>
    <m/>
    <m/>
    <m/>
    <m/>
    <n v="51419.87"/>
    <m/>
    <m/>
  </r>
  <r>
    <x v="4"/>
    <d v="2024-09-08T00:00:00"/>
    <s v="FAC"/>
    <s v="A"/>
    <n v="1326"/>
    <s v="01550568"/>
    <x v="41"/>
    <n v="30663288497"/>
    <s v="Servicio de telefonia"/>
    <s v="ARS"/>
    <n v="1"/>
    <n v="48984.09"/>
    <n v="6762"/>
    <n v="0"/>
    <n v="4531.7"/>
    <n v="0"/>
    <n v="0"/>
    <n v="1469.52"/>
    <n v="1763.43"/>
    <n v="836.63"/>
    <n v="11293.7"/>
    <n v="64347.369999999988"/>
    <n v="64347.369999999988"/>
    <n v="0"/>
    <x v="1"/>
    <m/>
    <m/>
    <n v="0"/>
    <m/>
    <m/>
    <m/>
    <m/>
    <m/>
    <n v="64347.369999999988"/>
    <m/>
    <m/>
  </r>
  <r>
    <x v="4"/>
    <d v="2024-09-09T00:00:00"/>
    <s v="FAC"/>
    <s v="C"/>
    <s v="0002"/>
    <s v="00001806"/>
    <x v="27"/>
    <n v="20105424605"/>
    <s v="Fotocopias - Insumos de librería y oficina"/>
    <s v="ARS"/>
    <n v="1"/>
    <n v="18450"/>
    <n v="0"/>
    <n v="0"/>
    <n v="0"/>
    <n v="0"/>
    <n v="0"/>
    <n v="0"/>
    <n v="0"/>
    <n v="0"/>
    <n v="0"/>
    <n v="18450"/>
    <n v="18450"/>
    <m/>
    <x v="1"/>
    <m/>
    <m/>
    <n v="0"/>
    <m/>
    <m/>
    <m/>
    <m/>
    <m/>
    <n v="18450"/>
    <m/>
    <m/>
  </r>
  <r>
    <x v="4"/>
    <d v="2024-09-09T00:00:00"/>
    <s v="FAC"/>
    <s v="C"/>
    <s v="0002"/>
    <s v="00001804"/>
    <x v="27"/>
    <n v="20105424605"/>
    <s v="Fotocopias - Insumos de librería y oficina"/>
    <s v="ARS"/>
    <n v="1"/>
    <n v="6300"/>
    <n v="0"/>
    <n v="0"/>
    <n v="0"/>
    <n v="0"/>
    <n v="0"/>
    <n v="0"/>
    <n v="0"/>
    <n v="0"/>
    <n v="0"/>
    <n v="6300"/>
    <n v="6300"/>
    <m/>
    <x v="1"/>
    <m/>
    <m/>
    <n v="0"/>
    <m/>
    <m/>
    <m/>
    <m/>
    <m/>
    <n v="6300"/>
    <m/>
    <m/>
  </r>
  <r>
    <x v="4"/>
    <d v="2024-09-09T00:00:00"/>
    <s v="FAC"/>
    <s v="C"/>
    <s v="0002"/>
    <s v="00001805"/>
    <x v="27"/>
    <n v="20105424605"/>
    <s v="Fotocopias - Insumos de librería y oficina"/>
    <s v="ARS"/>
    <n v="1"/>
    <n v="480"/>
    <n v="0"/>
    <n v="0"/>
    <n v="0"/>
    <n v="0"/>
    <n v="0"/>
    <n v="0"/>
    <n v="0"/>
    <n v="0"/>
    <n v="0"/>
    <n v="480"/>
    <n v="480"/>
    <m/>
    <x v="1"/>
    <m/>
    <m/>
    <n v="0"/>
    <m/>
    <m/>
    <m/>
    <m/>
    <m/>
    <n v="480"/>
    <m/>
    <m/>
  </r>
  <r>
    <x v="4"/>
    <d v="2024-09-09T00:00:00"/>
    <s v="FAC"/>
    <s v="A"/>
    <s v="0067"/>
    <s v="00118744"/>
    <x v="42"/>
    <n v="30583516790"/>
    <s v="Insumos de Librería"/>
    <s v="ARS"/>
    <n v="1"/>
    <n v="3430.85"/>
    <n v="720.48"/>
    <n v="0"/>
    <n v="0"/>
    <n v="0"/>
    <n v="0"/>
    <n v="0"/>
    <n v="0"/>
    <n v="0"/>
    <n v="720.48"/>
    <n v="4151.33"/>
    <n v="4151.33"/>
    <n v="0"/>
    <x v="1"/>
    <m/>
    <m/>
    <n v="0"/>
    <m/>
    <m/>
    <m/>
    <m/>
    <m/>
    <n v="4151.33"/>
    <m/>
    <m/>
  </r>
  <r>
    <x v="4"/>
    <d v="2024-09-09T00:00:00"/>
    <s v="FAC"/>
    <s v="A"/>
    <s v="0002"/>
    <s v="00003219"/>
    <x v="43"/>
    <n v="30712291237"/>
    <s v="Equipo de cirugia Mayor esteril descartable"/>
    <s v="ARS"/>
    <n v="1"/>
    <n v="280860"/>
    <n v="58980.6"/>
    <n v="0"/>
    <n v="0"/>
    <n v="0"/>
    <n v="0"/>
    <n v="0"/>
    <n v="0"/>
    <n v="0"/>
    <n v="58980.6"/>
    <n v="339840.6"/>
    <n v="339840.6"/>
    <n v="1137.2"/>
    <x v="1"/>
    <m/>
    <d v="2024-10-18T00:00:00"/>
    <n v="338703.39999999997"/>
    <m/>
    <m/>
    <m/>
    <m/>
    <m/>
    <n v="0"/>
    <m/>
    <m/>
  </r>
  <r>
    <x v="4"/>
    <d v="2024-09-09T00:00:00"/>
    <s v="FAC"/>
    <s v="A"/>
    <s v="0069"/>
    <s v="00001161"/>
    <x v="44"/>
    <n v="33707243479"/>
    <s v="Insumos de pintureria"/>
    <s v="ARS"/>
    <n v="1"/>
    <n v="798264.41"/>
    <n v="167635.53"/>
    <n v="0"/>
    <n v="0"/>
    <n v="0"/>
    <n v="0"/>
    <n v="0"/>
    <n v="0"/>
    <n v="0.06"/>
    <n v="167635.53"/>
    <n v="965900.00000000012"/>
    <n v="965900.00000000012"/>
    <n v="0"/>
    <x v="1"/>
    <m/>
    <d v="2024-09-09T00:00:00"/>
    <n v="965900.00000000012"/>
    <m/>
    <m/>
    <m/>
    <m/>
    <m/>
    <n v="0"/>
    <m/>
    <m/>
  </r>
  <r>
    <x v="4"/>
    <d v="2024-09-10T00:00:00"/>
    <s v="FAC"/>
    <s v="A"/>
    <s v="0817"/>
    <s v="00032633"/>
    <x v="45"/>
    <n v="30708574836"/>
    <s v="Correo"/>
    <s v="ARS"/>
    <n v="1"/>
    <n v="13800"/>
    <n v="0"/>
    <n v="0"/>
    <n v="0"/>
    <n v="0"/>
    <n v="0"/>
    <n v="0"/>
    <n v="0"/>
    <n v="0"/>
    <n v="0"/>
    <n v="13800"/>
    <n v="13800"/>
    <m/>
    <x v="1"/>
    <m/>
    <m/>
    <n v="0"/>
    <m/>
    <m/>
    <m/>
    <m/>
    <m/>
    <n v="13800"/>
    <m/>
    <m/>
  </r>
  <r>
    <x v="4"/>
    <d v="2024-09-10T00:00:00"/>
    <s v="FAC"/>
    <s v="C"/>
    <s v="0002"/>
    <s v="00000112"/>
    <x v="46"/>
    <n v="23406307239"/>
    <s v="Fotocopias - Insumos de librería y oficina"/>
    <s v="ARS"/>
    <n v="1"/>
    <n v="900"/>
    <n v="0"/>
    <n v="0"/>
    <n v="0"/>
    <n v="0"/>
    <n v="0"/>
    <n v="0"/>
    <n v="0"/>
    <n v="0"/>
    <n v="0"/>
    <n v="900"/>
    <n v="900"/>
    <m/>
    <x v="1"/>
    <m/>
    <m/>
    <n v="0"/>
    <m/>
    <m/>
    <m/>
    <m/>
    <m/>
    <n v="900"/>
    <m/>
    <m/>
  </r>
  <r>
    <x v="4"/>
    <d v="2024-09-10T00:00:00"/>
    <s v="FAC"/>
    <s v="A"/>
    <s v="0172"/>
    <s v="00012401"/>
    <x v="20"/>
    <n v="30673770483"/>
    <s v="Mercadería para oficina"/>
    <s v="ARS"/>
    <n v="1"/>
    <n v="19954.38"/>
    <n v="4190.42"/>
    <n v="0"/>
    <n v="0"/>
    <n v="0"/>
    <n v="0"/>
    <n v="0"/>
    <n v="718.36"/>
    <n v="0"/>
    <n v="4190.42"/>
    <n v="24863.160000000003"/>
    <n v="24863.160000000003"/>
    <m/>
    <x v="1"/>
    <m/>
    <m/>
    <n v="0"/>
    <m/>
    <m/>
    <m/>
    <m/>
    <m/>
    <n v="24863.160000000003"/>
    <m/>
    <m/>
  </r>
  <r>
    <x v="4"/>
    <d v="2024-09-10T00:00:00"/>
    <s v="FAC"/>
    <s v="A"/>
    <s v="0037"/>
    <s v="00015195"/>
    <x v="47"/>
    <n v="30557717400"/>
    <s v="Materiales para obra en construccion"/>
    <s v="ARS"/>
    <n v="1"/>
    <n v="168606.81"/>
    <n v="35407.430099999998"/>
    <n v="0"/>
    <n v="0"/>
    <n v="0"/>
    <n v="0"/>
    <n v="0"/>
    <n v="7644.16"/>
    <n v="0"/>
    <n v="35407.430099999998"/>
    <n v="211658.4001"/>
    <n v="211658.4001"/>
    <n v="0"/>
    <x v="1"/>
    <m/>
    <d v="2024-09-09T00:00:00"/>
    <n v="211658.4001"/>
    <m/>
    <m/>
    <m/>
    <m/>
    <m/>
    <n v="0"/>
    <m/>
    <m/>
  </r>
  <r>
    <x v="4"/>
    <d v="2024-09-10T00:00:00"/>
    <s v="FAC"/>
    <s v="C"/>
    <s v="0002"/>
    <s v="00001808"/>
    <x v="27"/>
    <n v="20105424605"/>
    <s v="Fotocopias - Insumos de librería y oficina"/>
    <s v="ARS"/>
    <n v="1"/>
    <n v="21450"/>
    <n v="0"/>
    <n v="0"/>
    <n v="0"/>
    <n v="0"/>
    <n v="0"/>
    <n v="0"/>
    <n v="0"/>
    <n v="0"/>
    <n v="0"/>
    <n v="21450"/>
    <n v="21450"/>
    <m/>
    <x v="1"/>
    <m/>
    <m/>
    <n v="0"/>
    <m/>
    <m/>
    <m/>
    <m/>
    <m/>
    <n v="21450"/>
    <m/>
    <m/>
  </r>
  <r>
    <x v="4"/>
    <d v="2024-09-10T00:00:00"/>
    <s v="FAC"/>
    <s v="C"/>
    <s v="0002"/>
    <s v="00001807"/>
    <x v="27"/>
    <n v="20105424605"/>
    <s v="Fotocopias - Insumos de librería y oficina"/>
    <s v="ARS"/>
    <n v="1"/>
    <n v="930"/>
    <n v="0"/>
    <n v="0"/>
    <n v="0"/>
    <n v="0"/>
    <n v="0"/>
    <n v="0"/>
    <n v="0"/>
    <n v="0"/>
    <n v="0"/>
    <n v="930"/>
    <n v="930"/>
    <m/>
    <x v="1"/>
    <m/>
    <m/>
    <n v="0"/>
    <m/>
    <m/>
    <m/>
    <m/>
    <m/>
    <n v="930"/>
    <m/>
    <m/>
  </r>
  <r>
    <x v="4"/>
    <d v="2024-09-10T00:00:00"/>
    <s v="FAC"/>
    <s v="A"/>
    <s v="0069"/>
    <s v="00001170"/>
    <x v="44"/>
    <n v="33707243479"/>
    <s v="Insumos de pintureria"/>
    <s v="ARS"/>
    <n v="1"/>
    <n v="37190.080000000002"/>
    <n v="7809.91"/>
    <n v="0"/>
    <n v="0"/>
    <n v="0"/>
    <n v="0"/>
    <n v="0"/>
    <n v="0"/>
    <n v="0.1"/>
    <n v="7809.91"/>
    <n v="45000.090000000004"/>
    <n v="45000.090000000004"/>
    <n v="0"/>
    <x v="1"/>
    <m/>
    <m/>
    <n v="0"/>
    <m/>
    <m/>
    <m/>
    <m/>
    <m/>
    <n v="45000.090000000004"/>
    <m/>
    <m/>
  </r>
  <r>
    <x v="4"/>
    <d v="2024-09-10T00:00:00"/>
    <s v="FAC"/>
    <s v="A"/>
    <s v="0003"/>
    <s v="00080018"/>
    <x v="6"/>
    <n v="33710842499"/>
    <s v="Insumos de limpieza "/>
    <s v="ARS"/>
    <n v="1"/>
    <n v="91665"/>
    <n v="19249.649999999998"/>
    <n v="0"/>
    <n v="0"/>
    <n v="0"/>
    <n v="0"/>
    <n v="0"/>
    <n v="0"/>
    <n v="0"/>
    <n v="19249.649999999998"/>
    <n v="110914.65"/>
    <n v="110914.65"/>
    <m/>
    <x v="0"/>
    <m/>
    <m/>
    <n v="0"/>
    <m/>
    <m/>
    <m/>
    <m/>
    <m/>
    <m/>
    <m/>
    <m/>
  </r>
  <r>
    <x v="4"/>
    <d v="2024-09-11T00:00:00"/>
    <s v="FAC"/>
    <s v="A"/>
    <s v="0023"/>
    <s v="00000311"/>
    <x v="18"/>
    <n v="30716375184"/>
    <s v="Mercadería para oficina"/>
    <s v="ARS"/>
    <n v="1"/>
    <n v="29842.48"/>
    <n v="6266.92"/>
    <n v="0"/>
    <n v="0"/>
    <n v="0"/>
    <n v="0"/>
    <n v="0"/>
    <n v="0"/>
    <n v="0"/>
    <n v="6266.92"/>
    <n v="36109.4"/>
    <n v="36109.4"/>
    <m/>
    <x v="1"/>
    <m/>
    <m/>
    <n v="0"/>
    <m/>
    <m/>
    <m/>
    <m/>
    <m/>
    <n v="36109.4"/>
    <m/>
    <m/>
  </r>
  <r>
    <x v="4"/>
    <d v="2024-09-11T00:00:00"/>
    <s v="FAC"/>
    <s v="A"/>
    <s v="6685"/>
    <s v="00016637"/>
    <x v="48"/>
    <n v="33707675069"/>
    <s v="Encomiendas y fletes"/>
    <s v="ARS"/>
    <n v="1"/>
    <n v="34194.22"/>
    <n v="7180.7861999999996"/>
    <n v="0"/>
    <n v="0"/>
    <n v="0"/>
    <n v="0"/>
    <n v="0"/>
    <n v="0"/>
    <n v="0"/>
    <n v="7180.7861999999996"/>
    <n v="41375.006200000003"/>
    <n v="41375.006200000003"/>
    <m/>
    <x v="1"/>
    <m/>
    <m/>
    <n v="0"/>
    <m/>
    <m/>
    <m/>
    <m/>
    <m/>
    <n v="41375.006200000003"/>
    <m/>
    <m/>
  </r>
  <r>
    <x v="4"/>
    <d v="2024-09-11T00:00:00"/>
    <s v="FAC"/>
    <s v="A"/>
    <s v="0003"/>
    <s v="00004855"/>
    <x v="19"/>
    <n v="27161287305"/>
    <s v="Accesorios reparacion sanitarios"/>
    <s v="ARS"/>
    <n v="1"/>
    <n v="20661.16"/>
    <n v="4338.8436000000002"/>
    <n v="0"/>
    <n v="0"/>
    <n v="0"/>
    <n v="0"/>
    <n v="0"/>
    <n v="0"/>
    <n v="0"/>
    <n v="4338.8436000000002"/>
    <n v="25000.0036"/>
    <n v="25000.0036"/>
    <m/>
    <x v="1"/>
    <m/>
    <m/>
    <n v="0"/>
    <m/>
    <m/>
    <m/>
    <m/>
    <m/>
    <n v="25000.0036"/>
    <m/>
    <m/>
  </r>
  <r>
    <x v="4"/>
    <d v="2024-09-11T00:00:00"/>
    <s v="FAC"/>
    <s v="C"/>
    <s v="0002"/>
    <s v="00000095"/>
    <x v="49"/>
    <n v="27299781688"/>
    <s v="Honorarios Medicos Guardias UTI P2024-08"/>
    <s v="ARS"/>
    <n v="1"/>
    <n v="370800"/>
    <n v="0"/>
    <n v="0"/>
    <n v="0"/>
    <n v="0"/>
    <n v="0"/>
    <n v="0"/>
    <n v="0"/>
    <n v="0"/>
    <n v="0"/>
    <n v="370800"/>
    <n v="370800"/>
    <n v="0"/>
    <x v="1"/>
    <m/>
    <d v="2024-09-20T00:00:00"/>
    <n v="370800"/>
    <m/>
    <m/>
    <m/>
    <m/>
    <m/>
    <n v="0"/>
    <m/>
    <m/>
  </r>
  <r>
    <x v="4"/>
    <d v="2024-09-11T00:00:00"/>
    <s v="FAC"/>
    <s v="A"/>
    <s v="0003"/>
    <s v="00006264"/>
    <x v="22"/>
    <n v="33716385359"/>
    <s v="Insumos de Farmacia"/>
    <s v="ARS"/>
    <n v="1"/>
    <n v="395000"/>
    <n v="82950"/>
    <n v="0"/>
    <n v="0"/>
    <n v="0"/>
    <n v="1172500"/>
    <n v="0"/>
    <n v="56430"/>
    <n v="0"/>
    <n v="82950"/>
    <n v="1706880"/>
    <n v="1706880"/>
    <n v="0"/>
    <x v="1"/>
    <m/>
    <d v="2024-10-18T00:00:00"/>
    <m/>
    <m/>
    <m/>
    <m/>
    <m/>
    <m/>
    <m/>
    <m/>
    <s v="CH 30 y 60"/>
  </r>
  <r>
    <x v="4"/>
    <d v="2024-09-11T00:00:00"/>
    <s v="FAC"/>
    <s v="C"/>
    <s v="0002"/>
    <s v="00001809"/>
    <x v="27"/>
    <n v="20105424605"/>
    <s v="Fotocopias - Insumos de librería y oficina"/>
    <s v="ARS"/>
    <n v="1"/>
    <n v="6500"/>
    <n v="0"/>
    <n v="0"/>
    <n v="0"/>
    <n v="0"/>
    <n v="0"/>
    <n v="0"/>
    <n v="0"/>
    <n v="0"/>
    <n v="0"/>
    <n v="6500"/>
    <n v="6500"/>
    <m/>
    <x v="1"/>
    <m/>
    <m/>
    <n v="0"/>
    <m/>
    <m/>
    <m/>
    <m/>
    <m/>
    <n v="6500"/>
    <m/>
    <m/>
  </r>
  <r>
    <x v="4"/>
    <d v="2024-09-11T00:00:00"/>
    <s v="FAC"/>
    <s v="A"/>
    <s v="0327"/>
    <s v="01970272"/>
    <x v="50"/>
    <n v="30579939008"/>
    <s v="Encomiendas y fletes"/>
    <s v="ARS"/>
    <n v="1"/>
    <n v="61080.82"/>
    <n v="12826.9722"/>
    <n v="0"/>
    <n v="0"/>
    <n v="0"/>
    <n v="0"/>
    <n v="0"/>
    <n v="0"/>
    <n v="0"/>
    <n v="12826.9722"/>
    <n v="73907.792199999996"/>
    <n v="73907.792199999996"/>
    <n v="0"/>
    <x v="1"/>
    <m/>
    <m/>
    <n v="0"/>
    <m/>
    <m/>
    <m/>
    <m/>
    <m/>
    <n v="73907.792199999996"/>
    <m/>
    <m/>
  </r>
  <r>
    <x v="4"/>
    <d v="2024-09-11T00:00:00"/>
    <s v="A cuenta"/>
    <m/>
    <m/>
    <s v="20240911"/>
    <x v="51"/>
    <m/>
    <s v="3/4 Cargas esterilizacion"/>
    <s v="ARS"/>
    <n v="1"/>
    <n v="87500"/>
    <n v="0"/>
    <n v="0"/>
    <n v="0"/>
    <n v="0"/>
    <n v="0"/>
    <n v="0"/>
    <n v="0"/>
    <n v="0"/>
    <n v="0"/>
    <n v="87500"/>
    <n v="87500"/>
    <n v="0"/>
    <x v="1"/>
    <m/>
    <d v="2024-09-19T00:00:00"/>
    <n v="0"/>
    <m/>
    <m/>
    <m/>
    <m/>
    <m/>
    <n v="87500"/>
    <m/>
    <m/>
  </r>
  <r>
    <x v="4"/>
    <d v="2024-09-12T00:00:00"/>
    <s v="FAC"/>
    <s v="C"/>
    <s v="0001"/>
    <s v="00000014"/>
    <x v="52"/>
    <n v="20407752458"/>
    <s v="Honorarios Médicos Piso P2024-08"/>
    <s v="ARS"/>
    <n v="1"/>
    <n v="1050000"/>
    <n v="0"/>
    <n v="0"/>
    <n v="0"/>
    <n v="0"/>
    <n v="0"/>
    <n v="0"/>
    <n v="0"/>
    <n v="0"/>
    <n v="0"/>
    <n v="1050000"/>
    <n v="1050000"/>
    <n v="0"/>
    <x v="1"/>
    <m/>
    <d v="2024-09-20T00:00:00"/>
    <n v="1050000"/>
    <m/>
    <m/>
    <m/>
    <m/>
    <m/>
    <n v="0"/>
    <m/>
    <m/>
  </r>
  <r>
    <x v="4"/>
    <d v="2024-09-12T00:00:00"/>
    <s v="FAC"/>
    <s v="A"/>
    <s v="0007"/>
    <s v="00000030"/>
    <x v="25"/>
    <n v="27057859755"/>
    <s v="Alquiler mensual septiembre 2024"/>
    <s v="ARS"/>
    <n v="1"/>
    <n v="2704000"/>
    <n v="567840"/>
    <n v="0"/>
    <n v="0"/>
    <n v="0"/>
    <n v="0"/>
    <n v="0"/>
    <n v="0"/>
    <n v="0"/>
    <n v="567840"/>
    <n v="3271840"/>
    <n v="3271840"/>
    <n v="0"/>
    <x v="1"/>
    <m/>
    <d v="2024-09-24T00:00:00"/>
    <n v="3271840"/>
    <m/>
    <m/>
    <m/>
    <m/>
    <m/>
    <n v="0"/>
    <m/>
    <m/>
  </r>
  <r>
    <x v="4"/>
    <d v="2024-09-12T00:00:00"/>
    <s v="FAC"/>
    <s v="C"/>
    <s v="0001"/>
    <s v="00000009"/>
    <x v="53"/>
    <n v="20376327974"/>
    <s v="Atención médica en guardia central P2024-08"/>
    <s v="ARS"/>
    <n v="1"/>
    <n v="84000"/>
    <n v="0"/>
    <n v="0"/>
    <n v="0"/>
    <n v="0"/>
    <n v="0"/>
    <n v="0"/>
    <n v="0"/>
    <n v="0"/>
    <n v="0"/>
    <n v="84000"/>
    <n v="84000"/>
    <m/>
    <x v="1"/>
    <m/>
    <d v="2024-09-20T00:00:00"/>
    <n v="84000"/>
    <m/>
    <m/>
    <m/>
    <m/>
    <m/>
    <n v="0"/>
    <m/>
    <m/>
  </r>
  <r>
    <x v="4"/>
    <d v="2024-09-12T00:00:00"/>
    <s v="FAC"/>
    <s v="C"/>
    <s v="0001"/>
    <s v="00000010"/>
    <x v="54"/>
    <n v="20404673867"/>
    <s v="Honorarios Guardias Medicas Piso P2024-08"/>
    <s v="ARS"/>
    <n v="1"/>
    <n v="732000"/>
    <n v="0"/>
    <n v="0"/>
    <n v="0"/>
    <n v="0"/>
    <n v="0"/>
    <n v="0"/>
    <n v="0"/>
    <n v="0"/>
    <n v="0"/>
    <n v="732000"/>
    <n v="732000"/>
    <n v="0"/>
    <x v="1"/>
    <m/>
    <d v="2024-09-20T00:00:00"/>
    <n v="732000"/>
    <m/>
    <m/>
    <m/>
    <m/>
    <m/>
    <n v="0"/>
    <m/>
    <m/>
  </r>
  <r>
    <x v="4"/>
    <d v="2024-09-12T00:00:00"/>
    <s v="FAC"/>
    <s v="A"/>
    <s v="0007"/>
    <s v="00023948"/>
    <x v="55"/>
    <n v="27172337568"/>
    <s v="Insumos de Librería"/>
    <s v="ARS"/>
    <n v="1"/>
    <n v="35783.33"/>
    <n v="7514.5"/>
    <n v="0"/>
    <n v="0"/>
    <n v="0"/>
    <n v="0"/>
    <n v="0"/>
    <n v="0"/>
    <n v="0"/>
    <n v="7514.5"/>
    <n v="43297.83"/>
    <n v="43297.83"/>
    <n v="0"/>
    <x v="1"/>
    <m/>
    <m/>
    <n v="0"/>
    <m/>
    <m/>
    <m/>
    <m/>
    <m/>
    <n v="43297.83"/>
    <m/>
    <m/>
  </r>
  <r>
    <x v="4"/>
    <d v="2024-09-12T00:00:00"/>
    <s v="FAC"/>
    <s v="A"/>
    <s v="0007"/>
    <s v="00023949"/>
    <x v="55"/>
    <n v="27172337568"/>
    <s v="Insumos de Librería"/>
    <s v="ARS"/>
    <n v="1"/>
    <n v="1989.96"/>
    <n v="417.89"/>
    <n v="0"/>
    <n v="0"/>
    <n v="0"/>
    <n v="0"/>
    <n v="0"/>
    <n v="0"/>
    <n v="0"/>
    <n v="417.89"/>
    <n v="2407.85"/>
    <n v="2407.85"/>
    <n v="0"/>
    <x v="1"/>
    <m/>
    <m/>
    <n v="0"/>
    <m/>
    <m/>
    <m/>
    <m/>
    <m/>
    <n v="2407.85"/>
    <m/>
    <m/>
  </r>
  <r>
    <x v="4"/>
    <d v="2024-09-12T00:00:00"/>
    <s v="FAC"/>
    <s v="C"/>
    <s v="0001"/>
    <s v="00000077"/>
    <x v="56"/>
    <n v="27362344072"/>
    <s v="Honorarios Medicos Piso P2024-08"/>
    <s v="ARS"/>
    <n v="1"/>
    <n v="738000"/>
    <n v="0"/>
    <n v="0"/>
    <n v="0"/>
    <n v="0"/>
    <n v="0"/>
    <n v="0"/>
    <n v="0"/>
    <n v="0"/>
    <n v="0"/>
    <n v="738000"/>
    <n v="738000"/>
    <n v="0"/>
    <x v="1"/>
    <m/>
    <d v="2024-09-20T00:00:00"/>
    <n v="738000"/>
    <m/>
    <m/>
    <m/>
    <m/>
    <m/>
    <n v="0"/>
    <m/>
    <m/>
  </r>
  <r>
    <x v="4"/>
    <d v="2024-09-12T00:00:00"/>
    <s v="FAC"/>
    <s v="A"/>
    <s v="0003"/>
    <s v="00000571"/>
    <x v="57"/>
    <n v="30715364316"/>
    <s v="Servicio de recolección de residuos con contenedor"/>
    <s v="ARS"/>
    <n v="1"/>
    <n v="45000"/>
    <n v="0"/>
    <n v="0"/>
    <n v="0"/>
    <n v="0"/>
    <n v="0"/>
    <n v="0"/>
    <n v="0"/>
    <n v="0"/>
    <n v="0"/>
    <n v="45000"/>
    <n v="45000"/>
    <n v="0"/>
    <x v="0"/>
    <m/>
    <m/>
    <m/>
    <m/>
    <m/>
    <m/>
    <m/>
    <m/>
    <m/>
    <m/>
    <m/>
  </r>
  <r>
    <x v="4"/>
    <d v="2024-09-12T00:00:00"/>
    <s v="FAC"/>
    <s v="C"/>
    <s v="0002"/>
    <s v="00000033"/>
    <x v="58"/>
    <n v="20385006226"/>
    <s v="Honorarios Médicos Piso P2024-08"/>
    <s v="ARS"/>
    <n v="1"/>
    <n v="684000"/>
    <n v="0"/>
    <n v="0"/>
    <n v="0"/>
    <n v="0"/>
    <n v="0"/>
    <n v="0"/>
    <n v="0"/>
    <n v="0"/>
    <n v="0"/>
    <n v="684000"/>
    <n v="684000"/>
    <n v="0"/>
    <x v="1"/>
    <m/>
    <d v="2024-09-20T00:00:00"/>
    <n v="684000"/>
    <m/>
    <m/>
    <m/>
    <m/>
    <m/>
    <n v="0"/>
    <m/>
    <m/>
  </r>
  <r>
    <x v="4"/>
    <d v="2024-09-12T00:00:00"/>
    <s v="FAC"/>
    <s v="C"/>
    <s v="0001"/>
    <s v="00000021"/>
    <x v="59"/>
    <n v="20397047866"/>
    <s v="Servicios médicos prestados P2024-08"/>
    <s v="ARS"/>
    <n v="1"/>
    <n v="786000"/>
    <n v="0"/>
    <n v="0"/>
    <n v="0"/>
    <n v="0"/>
    <n v="0"/>
    <n v="0"/>
    <n v="0"/>
    <n v="0"/>
    <n v="0"/>
    <n v="786000"/>
    <n v="786000"/>
    <m/>
    <x v="1"/>
    <m/>
    <d v="2024-09-20T00:00:00"/>
    <n v="702000"/>
    <m/>
    <m/>
    <m/>
    <m/>
    <m/>
    <n v="0"/>
    <m/>
    <m/>
  </r>
  <r>
    <x v="4"/>
    <d v="2024-09-12T00:00:00"/>
    <s v="FAC"/>
    <s v="A"/>
    <s v="0068"/>
    <s v="00013872"/>
    <x v="42"/>
    <n v="30583516790"/>
    <s v="Insumos de Librería"/>
    <s v="ARS"/>
    <n v="1"/>
    <n v="42650.91"/>
    <n v="8956.69"/>
    <n v="0"/>
    <n v="0"/>
    <n v="0"/>
    <n v="0"/>
    <n v="0"/>
    <n v="0"/>
    <n v="0"/>
    <n v="8956.69"/>
    <n v="51607.600000000006"/>
    <n v="51607.600000000006"/>
    <n v="0"/>
    <x v="1"/>
    <m/>
    <m/>
    <n v="0"/>
    <m/>
    <m/>
    <m/>
    <m/>
    <m/>
    <n v="51607.600000000006"/>
    <m/>
    <m/>
  </r>
  <r>
    <x v="4"/>
    <d v="2024-09-12T00:00:00"/>
    <s v="FAC"/>
    <s v="A"/>
    <s v="0014"/>
    <s v="00032867"/>
    <x v="60"/>
    <n v="30523567795"/>
    <s v="Insumos de Librería"/>
    <s v="ARS"/>
    <n v="1"/>
    <n v="24821.51"/>
    <n v="5212.5200000000004"/>
    <n v="0"/>
    <n v="0"/>
    <n v="0"/>
    <n v="0"/>
    <n v="0"/>
    <n v="893.57436000000007"/>
    <n v="0"/>
    <n v="5212.5200000000004"/>
    <n v="30927.604359999998"/>
    <n v="30927.604359999998"/>
    <m/>
    <x v="1"/>
    <m/>
    <m/>
    <n v="0"/>
    <m/>
    <m/>
    <m/>
    <m/>
    <m/>
    <n v="30927.604359999998"/>
    <m/>
    <m/>
  </r>
  <r>
    <x v="4"/>
    <d v="2024-09-12T00:00:00"/>
    <s v="FAC"/>
    <s v="A"/>
    <s v="0004"/>
    <s v="00008429"/>
    <x v="61"/>
    <n v="30711139369"/>
    <s v="Insumos varios para reparacion de sanitarios"/>
    <s v="ARS"/>
    <n v="1"/>
    <n v="15767.16"/>
    <n v="3311.1"/>
    <n v="0"/>
    <n v="0"/>
    <n v="0"/>
    <n v="0"/>
    <n v="0"/>
    <n v="0"/>
    <n v="0"/>
    <n v="3311.1"/>
    <n v="19078.259999999998"/>
    <n v="19078.259999999998"/>
    <m/>
    <x v="1"/>
    <m/>
    <m/>
    <n v="0"/>
    <m/>
    <m/>
    <m/>
    <m/>
    <m/>
    <n v="19078.259999999998"/>
    <m/>
    <m/>
  </r>
  <r>
    <x v="4"/>
    <d v="2024-09-12T00:00:00"/>
    <s v="FAC"/>
    <s v="C"/>
    <s v="0001"/>
    <s v="00000217"/>
    <x v="62"/>
    <n v="23363473229"/>
    <s v="Honorarios Guardias Medicas P2024-08"/>
    <s v="ARS"/>
    <n v="1"/>
    <n v="264000"/>
    <n v="0"/>
    <n v="0"/>
    <n v="0"/>
    <n v="0"/>
    <n v="0"/>
    <n v="0"/>
    <n v="0"/>
    <n v="0"/>
    <n v="0"/>
    <n v="264000"/>
    <n v="264000"/>
    <m/>
    <x v="1"/>
    <m/>
    <d v="2024-09-20T00:00:00"/>
    <n v="264000"/>
    <m/>
    <m/>
    <m/>
    <m/>
    <m/>
    <n v="0"/>
    <m/>
    <m/>
  </r>
  <r>
    <x v="4"/>
    <d v="2024-09-12T00:00:00"/>
    <s v="FAC"/>
    <s v="A"/>
    <s v="0002"/>
    <s v="00000170"/>
    <x v="63"/>
    <n v="27175804760"/>
    <s v="Honorarios interconsulta nutricion Sancor"/>
    <s v="ARS"/>
    <n v="1"/>
    <n v="53337"/>
    <n v="0"/>
    <n v="0"/>
    <n v="0"/>
    <n v="0"/>
    <n v="0"/>
    <n v="0"/>
    <n v="0"/>
    <n v="0"/>
    <n v="0"/>
    <n v="53337"/>
    <n v="53337"/>
    <m/>
    <x v="1"/>
    <m/>
    <m/>
    <n v="0"/>
    <m/>
    <m/>
    <m/>
    <m/>
    <m/>
    <n v="53337"/>
    <m/>
    <m/>
  </r>
  <r>
    <x v="4"/>
    <d v="2024-09-12T00:00:00"/>
    <s v="FAC"/>
    <s v="A"/>
    <s v="0327"/>
    <s v="01970969"/>
    <x v="50"/>
    <n v="30579939008"/>
    <s v="Flete Tubotomografo"/>
    <s v="ARS"/>
    <n v="1"/>
    <n v="728282.59"/>
    <n v="152939.34389999998"/>
    <n v="0"/>
    <n v="0"/>
    <n v="0"/>
    <n v="0"/>
    <n v="0"/>
    <n v="0"/>
    <n v="0"/>
    <n v="152939.34389999998"/>
    <n v="881221.93389999995"/>
    <n v="881221.93389999995"/>
    <n v="0"/>
    <x v="1"/>
    <m/>
    <d v="2024-09-17T00:00:00"/>
    <n v="881221.93389999995"/>
    <m/>
    <m/>
    <m/>
    <m/>
    <m/>
    <n v="0"/>
    <m/>
    <m/>
  </r>
  <r>
    <x v="4"/>
    <d v="2024-09-12T00:00:00"/>
    <s v="FAC"/>
    <s v="A"/>
    <s v="0327"/>
    <s v="01965790"/>
    <x v="50"/>
    <n v="30579939008"/>
    <s v="Flete Bionuclear"/>
    <s v="ARS"/>
    <n v="1"/>
    <n v="399113.07"/>
    <n v="83813.744699999996"/>
    <n v="0"/>
    <n v="0"/>
    <n v="0"/>
    <n v="0"/>
    <n v="0"/>
    <n v="0"/>
    <n v="0"/>
    <n v="83813.744699999996"/>
    <n v="482926.81469999999"/>
    <n v="482926.81469999999"/>
    <n v="0"/>
    <x v="1"/>
    <m/>
    <d v="2024-09-06T00:00:00"/>
    <n v="482926.81469999999"/>
    <m/>
    <m/>
    <m/>
    <m/>
    <m/>
    <n v="0"/>
    <m/>
    <m/>
  </r>
  <r>
    <x v="4"/>
    <d v="2024-09-12T00:00:00"/>
    <s v="REC"/>
    <s v="X"/>
    <s v="0001"/>
    <s v="20240912"/>
    <x v="64"/>
    <n v="30111111111"/>
    <s v="Arreglo perdida termotanque, arreglos varios"/>
    <s v="ARS"/>
    <n v="1"/>
    <n v="80000"/>
    <n v="0"/>
    <n v="0"/>
    <n v="0"/>
    <n v="0"/>
    <n v="0"/>
    <n v="0"/>
    <n v="0"/>
    <n v="0"/>
    <n v="0"/>
    <n v="80000"/>
    <n v="80000"/>
    <m/>
    <x v="1"/>
    <m/>
    <m/>
    <n v="0"/>
    <m/>
    <m/>
    <m/>
    <m/>
    <m/>
    <n v="80000"/>
    <m/>
    <m/>
  </r>
  <r>
    <x v="4"/>
    <d v="2024-09-12T00:00:00"/>
    <s v="REC"/>
    <s v="X"/>
    <s v="0001"/>
    <s v="20240912"/>
    <x v="64"/>
    <n v="30111111111"/>
    <s v="Cadete"/>
    <s v="ARS"/>
    <n v="1"/>
    <n v="7070"/>
    <n v="0"/>
    <n v="0"/>
    <n v="0"/>
    <n v="0"/>
    <n v="0"/>
    <n v="0"/>
    <n v="0"/>
    <n v="0"/>
    <n v="0"/>
    <n v="7070"/>
    <n v="7070"/>
    <m/>
    <x v="1"/>
    <m/>
    <m/>
    <n v="0"/>
    <m/>
    <m/>
    <m/>
    <m/>
    <m/>
    <n v="7070"/>
    <m/>
    <m/>
  </r>
  <r>
    <x v="4"/>
    <d v="2024-09-13T00:00:00"/>
    <s v="FAC"/>
    <s v="M"/>
    <s v="0010"/>
    <s v="00000039"/>
    <x v="65"/>
    <n v="30717948900"/>
    <s v="Articulos medicos varios"/>
    <s v="ARS"/>
    <n v="1"/>
    <n v="35537.19"/>
    <n v="7462.8099000000002"/>
    <n v="0"/>
    <n v="0"/>
    <n v="0"/>
    <n v="0"/>
    <n v="0"/>
    <n v="0"/>
    <n v="0"/>
    <n v="7462.8099000000002"/>
    <n v="42999.999900000003"/>
    <n v="42999.999900000003"/>
    <n v="0"/>
    <x v="0"/>
    <m/>
    <m/>
    <m/>
    <m/>
    <m/>
    <m/>
    <m/>
    <m/>
    <m/>
    <m/>
    <m/>
  </r>
  <r>
    <x v="4"/>
    <d v="2024-09-13T00:00:00"/>
    <s v="FAC"/>
    <s v="C"/>
    <s v="0001"/>
    <s v="00000006"/>
    <x v="66"/>
    <n v="20356277490"/>
    <s v="Honorarios Guardias Medicas Piso P2024-08"/>
    <s v="ARS"/>
    <n v="1"/>
    <n v="348200"/>
    <n v="0"/>
    <n v="0"/>
    <n v="0"/>
    <n v="0"/>
    <n v="0"/>
    <n v="0"/>
    <n v="0"/>
    <n v="0"/>
    <n v="0"/>
    <n v="348200"/>
    <n v="348200"/>
    <n v="0"/>
    <x v="1"/>
    <m/>
    <d v="2024-09-20T00:00:00"/>
    <n v="348200"/>
    <m/>
    <m/>
    <m/>
    <m/>
    <m/>
    <n v="0"/>
    <m/>
    <m/>
  </r>
  <r>
    <x v="4"/>
    <d v="2024-09-13T00:00:00"/>
    <s v="FAC"/>
    <s v="C"/>
    <s v="0001"/>
    <s v="00000005"/>
    <x v="66"/>
    <n v="20356277490"/>
    <s v="Honorarios Guardias Medicas UTI P2024-08"/>
    <s v="ARS"/>
    <n v="1"/>
    <n v="493200"/>
    <n v="0"/>
    <n v="0"/>
    <n v="0"/>
    <n v="0"/>
    <n v="0"/>
    <n v="0"/>
    <n v="0"/>
    <n v="0"/>
    <n v="0"/>
    <n v="493200"/>
    <n v="493200"/>
    <n v="0"/>
    <x v="1"/>
    <m/>
    <d v="2024-09-20T00:00:00"/>
    <n v="493200"/>
    <m/>
    <m/>
    <m/>
    <m/>
    <m/>
    <n v="0"/>
    <m/>
    <m/>
  </r>
  <r>
    <x v="4"/>
    <d v="2024-09-13T00:00:00"/>
    <s v="FAC"/>
    <s v="C"/>
    <s v="0001"/>
    <s v="00000034"/>
    <x v="67"/>
    <n v="20352639606"/>
    <s v="Honorarios Guardias Medicas UTI P2024-08"/>
    <s v="ARS"/>
    <n v="1"/>
    <n v="1094400"/>
    <n v="0"/>
    <n v="0"/>
    <n v="0"/>
    <n v="0"/>
    <n v="0"/>
    <n v="0"/>
    <n v="0"/>
    <n v="0"/>
    <n v="0"/>
    <n v="1094400"/>
    <n v="1094400"/>
    <n v="0"/>
    <x v="1"/>
    <m/>
    <d v="2024-09-20T00:00:00"/>
    <n v="1094400"/>
    <m/>
    <m/>
    <m/>
    <m/>
    <m/>
    <n v="0"/>
    <m/>
    <m/>
  </r>
  <r>
    <x v="4"/>
    <d v="2024-09-13T00:00:00"/>
    <s v="FAC"/>
    <s v="C"/>
    <s v="0001"/>
    <s v="00000035"/>
    <x v="67"/>
    <n v="20352639606"/>
    <s v="Bono incentivo UTI P2024-08"/>
    <s v="ARS"/>
    <n v="1"/>
    <n v="18000"/>
    <n v="0"/>
    <n v="0"/>
    <n v="0"/>
    <n v="0"/>
    <n v="0"/>
    <n v="0"/>
    <n v="0"/>
    <n v="0"/>
    <n v="0"/>
    <n v="18000"/>
    <n v="18000"/>
    <n v="0"/>
    <x v="1"/>
    <m/>
    <d v="2024-09-20T00:00:00"/>
    <n v="18000"/>
    <m/>
    <m/>
    <m/>
    <m/>
    <m/>
    <n v="0"/>
    <m/>
    <m/>
  </r>
  <r>
    <x v="4"/>
    <d v="2024-09-14T00:00:00"/>
    <s v="FAC"/>
    <s v="C"/>
    <s v="0003"/>
    <s v="00000001"/>
    <x v="68"/>
    <n v="27414867486"/>
    <s v="Honorarios Medicos UTI P2024-08"/>
    <s v="ARS"/>
    <n v="1"/>
    <n v="188400"/>
    <n v="0"/>
    <n v="0"/>
    <n v="0"/>
    <n v="0"/>
    <n v="0"/>
    <n v="0"/>
    <n v="0"/>
    <n v="0"/>
    <n v="0"/>
    <n v="188400"/>
    <n v="188400"/>
    <n v="0"/>
    <x v="1"/>
    <m/>
    <d v="2024-09-25T00:00:00"/>
    <n v="188400"/>
    <m/>
    <m/>
    <m/>
    <m/>
    <m/>
    <n v="0"/>
    <m/>
    <m/>
  </r>
  <r>
    <x v="4"/>
    <d v="2024-09-16T00:00:00"/>
    <s v="FAC"/>
    <s v="A"/>
    <s v="0003"/>
    <s v="00080121"/>
    <x v="6"/>
    <n v="33710842499"/>
    <s v="Insumos de Farmacia"/>
    <s v="ARS"/>
    <n v="1"/>
    <n v="43472.22"/>
    <n v="9129.17"/>
    <n v="0"/>
    <n v="0"/>
    <n v="0"/>
    <n v="0"/>
    <n v="0"/>
    <n v="0"/>
    <n v="0"/>
    <n v="9129.17"/>
    <n v="52601.39"/>
    <n v="52601.39"/>
    <m/>
    <x v="0"/>
    <m/>
    <m/>
    <m/>
    <m/>
    <m/>
    <m/>
    <m/>
    <m/>
    <m/>
    <m/>
    <m/>
  </r>
  <r>
    <x v="4"/>
    <d v="2024-09-16T00:00:00"/>
    <s v="FAC"/>
    <s v="A"/>
    <s v="0003"/>
    <s v="00006287"/>
    <x v="22"/>
    <n v="33716385359"/>
    <s v="Insumos de Farmacia"/>
    <s v="ARS"/>
    <n v="1"/>
    <n v="138300"/>
    <n v="29043"/>
    <n v="0"/>
    <n v="0"/>
    <n v="0"/>
    <n v="63000"/>
    <n v="0"/>
    <n v="7246.8"/>
    <n v="0"/>
    <n v="29043"/>
    <n v="237589.8"/>
    <n v="237589.8"/>
    <n v="0"/>
    <x v="1"/>
    <m/>
    <d v="2024-10-18T00:00:00"/>
    <m/>
    <m/>
    <m/>
    <m/>
    <m/>
    <m/>
    <m/>
    <m/>
    <s v="CH 30 y 60"/>
  </r>
  <r>
    <x v="4"/>
    <d v="2024-09-16T00:00:00"/>
    <s v="FAC"/>
    <s v="C"/>
    <s v="0001"/>
    <s v="00000017"/>
    <x v="69"/>
    <n v="27383412361"/>
    <s v="Honorarios Medicos UTI P2024-08"/>
    <s v="ARS"/>
    <n v="1"/>
    <n v="91200"/>
    <n v="0"/>
    <n v="0"/>
    <n v="0"/>
    <n v="0"/>
    <n v="0"/>
    <n v="0"/>
    <n v="0"/>
    <n v="0"/>
    <n v="0"/>
    <n v="91200"/>
    <n v="91200"/>
    <n v="0"/>
    <x v="1"/>
    <m/>
    <d v="2024-09-20T00:00:00"/>
    <n v="91200"/>
    <m/>
    <m/>
    <m/>
    <m/>
    <m/>
    <n v="0"/>
    <m/>
    <m/>
  </r>
  <r>
    <x v="4"/>
    <d v="2024-09-16T00:00:00"/>
    <s v="FAC"/>
    <s v="A"/>
    <s v="0052"/>
    <s v="00153443"/>
    <x v="36"/>
    <n v="30716596831"/>
    <s v="Agua Mineral - COMIDA PARA BAR"/>
    <s v="ARS"/>
    <n v="1"/>
    <n v="12066.12"/>
    <n v="2533.88"/>
    <n v="0"/>
    <n v="0"/>
    <n v="0"/>
    <n v="0"/>
    <n v="0"/>
    <n v="0"/>
    <n v="0"/>
    <n v="2533.88"/>
    <n v="14600"/>
    <n v="14600"/>
    <n v="0"/>
    <x v="1"/>
    <m/>
    <m/>
    <m/>
    <m/>
    <m/>
    <m/>
    <m/>
    <m/>
    <m/>
    <m/>
    <m/>
  </r>
  <r>
    <x v="4"/>
    <d v="2024-09-16T00:00:00"/>
    <s v="FAC"/>
    <s v="C"/>
    <s v="0002"/>
    <s v="00000044"/>
    <x v="70"/>
    <n v="27405241760"/>
    <s v="Honorarios Guardias Medicas UTI P2024-08"/>
    <s v="ARS"/>
    <n v="1"/>
    <n v="498000"/>
    <n v="0"/>
    <n v="0"/>
    <n v="0"/>
    <n v="0"/>
    <n v="0"/>
    <n v="0"/>
    <n v="0"/>
    <n v="0"/>
    <n v="0"/>
    <n v="498000"/>
    <n v="498000"/>
    <n v="0"/>
    <x v="1"/>
    <m/>
    <d v="2024-09-20T00:00:00"/>
    <n v="498000"/>
    <m/>
    <m/>
    <m/>
    <m/>
    <m/>
    <n v="0"/>
    <m/>
    <m/>
  </r>
  <r>
    <x v="4"/>
    <d v="2024-09-16T00:00:00"/>
    <s v="FAC"/>
    <s v="A"/>
    <s v="0003"/>
    <s v="00000010"/>
    <x v="71"/>
    <n v="20343880384"/>
    <s v="Honorarios Guardias Medicas P2024-08"/>
    <s v="ARS"/>
    <n v="1"/>
    <n v="80000"/>
    <n v="16800"/>
    <n v="0"/>
    <n v="0"/>
    <n v="0"/>
    <n v="0"/>
    <n v="0"/>
    <n v="0"/>
    <n v="0"/>
    <n v="16800"/>
    <n v="96800"/>
    <n v="96800"/>
    <m/>
    <x v="1"/>
    <m/>
    <d v="2024-09-25T00:00:00"/>
    <n v="96800"/>
    <m/>
    <m/>
    <m/>
    <m/>
    <m/>
    <n v="0"/>
    <m/>
    <m/>
  </r>
  <r>
    <x v="4"/>
    <d v="2024-09-16T00:00:00"/>
    <s v="FAC"/>
    <s v="C"/>
    <s v="0001"/>
    <s v="00000031"/>
    <x v="72"/>
    <n v="20957725563"/>
    <s v="Honorarios Medicos P2024-08"/>
    <s v="ARS"/>
    <n v="1"/>
    <n v="30000"/>
    <n v="0"/>
    <n v="0"/>
    <n v="0"/>
    <n v="0"/>
    <n v="0"/>
    <n v="0"/>
    <n v="0"/>
    <n v="0"/>
    <n v="0"/>
    <n v="30000"/>
    <n v="30000"/>
    <n v="0"/>
    <x v="1"/>
    <m/>
    <d v="2024-09-20T00:00:00"/>
    <n v="30000"/>
    <m/>
    <m/>
    <m/>
    <m/>
    <m/>
    <n v="0"/>
    <m/>
    <m/>
  </r>
  <r>
    <x v="4"/>
    <d v="2024-09-16T00:00:00"/>
    <s v="FAC"/>
    <s v="C"/>
    <s v="0001"/>
    <s v="00000030"/>
    <x v="72"/>
    <n v="20957725563"/>
    <s v="Honorarios Medicos UTI P2024-08"/>
    <s v="ARS"/>
    <n v="1"/>
    <n v="1028400"/>
    <n v="0"/>
    <n v="0"/>
    <n v="0"/>
    <n v="0"/>
    <n v="0"/>
    <n v="0"/>
    <n v="0"/>
    <n v="0"/>
    <n v="0"/>
    <n v="1028400"/>
    <n v="1028400"/>
    <n v="0"/>
    <x v="1"/>
    <m/>
    <d v="2024-09-20T00:00:00"/>
    <n v="1028400"/>
    <m/>
    <m/>
    <m/>
    <m/>
    <m/>
    <n v="0"/>
    <m/>
    <m/>
  </r>
  <r>
    <x v="4"/>
    <d v="2024-09-17T00:00:00"/>
    <s v="FAC"/>
    <s v="C"/>
    <s v="0004"/>
    <s v="00000082"/>
    <x v="73"/>
    <n v="20952983106"/>
    <s v="Honorarios Guardias Medicas UTI P2024-08"/>
    <s v="ARS"/>
    <n v="1"/>
    <n v="498000"/>
    <n v="0"/>
    <n v="0"/>
    <n v="0"/>
    <n v="0"/>
    <n v="0"/>
    <n v="0"/>
    <n v="0"/>
    <n v="0"/>
    <n v="0"/>
    <n v="498000"/>
    <n v="498000"/>
    <n v="0"/>
    <x v="1"/>
    <m/>
    <d v="2024-09-20T00:00:00"/>
    <n v="498000"/>
    <m/>
    <m/>
    <m/>
    <m/>
    <m/>
    <n v="0"/>
    <m/>
    <m/>
  </r>
  <r>
    <x v="4"/>
    <d v="2024-09-17T00:00:00"/>
    <s v="FAC"/>
    <s v="A"/>
    <s v="0001"/>
    <s v="00000001"/>
    <x v="74"/>
    <n v="30718646592"/>
    <s v="Insumos de Farmacia"/>
    <s v="ARS"/>
    <n v="1"/>
    <n v="543900"/>
    <n v="114219"/>
    <n v="0"/>
    <n v="0"/>
    <n v="0"/>
    <n v="0"/>
    <n v="0"/>
    <n v="0"/>
    <n v="0"/>
    <n v="114219"/>
    <n v="658119"/>
    <n v="658119"/>
    <m/>
    <x v="1"/>
    <m/>
    <d v="2024-09-20T00:00:00"/>
    <n v="658119"/>
    <m/>
    <m/>
    <m/>
    <m/>
    <m/>
    <n v="0"/>
    <m/>
    <m/>
  </r>
  <r>
    <x v="4"/>
    <d v="2024-09-17T00:00:00"/>
    <s v="FAC"/>
    <s v="A"/>
    <s v="0025"/>
    <s v="00000650"/>
    <x v="39"/>
    <n v="20202328734"/>
    <s v="Comida para el BAR"/>
    <s v="ARS"/>
    <n v="1"/>
    <n v="19433.89"/>
    <n v="4081.1168999999995"/>
    <n v="0"/>
    <n v="0"/>
    <n v="0"/>
    <n v="0"/>
    <n v="0"/>
    <n v="0"/>
    <n v="0"/>
    <n v="4081.1168999999995"/>
    <n v="23515.0069"/>
    <n v="23515.0069"/>
    <n v="0"/>
    <x v="1"/>
    <m/>
    <m/>
    <m/>
    <m/>
    <m/>
    <m/>
    <m/>
    <m/>
    <m/>
    <m/>
    <m/>
  </r>
  <r>
    <x v="4"/>
    <d v="2024-09-17T00:00:00"/>
    <s v="FAC"/>
    <s v="C"/>
    <s v="0001"/>
    <s v="00000029"/>
    <x v="75"/>
    <n v="27412965316"/>
    <s v="Honorarios IPS P2024-08"/>
    <s v="ARS"/>
    <n v="1"/>
    <n v="24000"/>
    <n v="0"/>
    <n v="0"/>
    <n v="0"/>
    <n v="0"/>
    <n v="0"/>
    <n v="0"/>
    <n v="0"/>
    <n v="0"/>
    <n v="0"/>
    <n v="24000"/>
    <n v="24000"/>
    <m/>
    <x v="1"/>
    <m/>
    <d v="2024-09-25T00:00:00"/>
    <n v="24000"/>
    <m/>
    <m/>
    <m/>
    <m/>
    <m/>
    <n v="0"/>
    <m/>
    <m/>
  </r>
  <r>
    <x v="4"/>
    <d v="2024-09-17T00:00:00"/>
    <s v="FAC"/>
    <s v="C"/>
    <s v="0001"/>
    <s v="00000028"/>
    <x v="75"/>
    <n v="27412965316"/>
    <s v="Honorarios Guardias Medicas P2024-08"/>
    <s v="ARS"/>
    <n v="1"/>
    <n v="672000"/>
    <n v="0"/>
    <n v="0"/>
    <n v="0"/>
    <n v="0"/>
    <n v="0"/>
    <n v="0"/>
    <n v="0"/>
    <n v="0"/>
    <n v="0"/>
    <n v="672000"/>
    <n v="672000"/>
    <m/>
    <x v="1"/>
    <m/>
    <d v="2024-09-25T00:00:00"/>
    <n v="672000"/>
    <m/>
    <m/>
    <m/>
    <m/>
    <m/>
    <n v="0"/>
    <m/>
    <m/>
  </r>
  <r>
    <x v="4"/>
    <d v="2024-09-17T00:00:00"/>
    <s v="FAC"/>
    <s v="C"/>
    <s v="0001"/>
    <s v="00000031"/>
    <x v="76"/>
    <n v="20306367553"/>
    <s v="Honorarios Medicos Guardias UTI P2024-08"/>
    <s v="ARS"/>
    <n v="1"/>
    <n v="294000"/>
    <n v="0"/>
    <n v="0"/>
    <n v="0"/>
    <n v="0"/>
    <n v="0"/>
    <n v="0"/>
    <n v="0"/>
    <n v="0"/>
    <n v="0"/>
    <n v="294000"/>
    <n v="294000"/>
    <n v="0"/>
    <x v="1"/>
    <m/>
    <d v="2024-09-20T00:00:00"/>
    <n v="294000"/>
    <m/>
    <m/>
    <m/>
    <m/>
    <m/>
    <n v="0"/>
    <m/>
    <m/>
  </r>
  <r>
    <x v="4"/>
    <d v="2024-09-17T00:00:00"/>
    <s v="FAC"/>
    <s v="C"/>
    <s v="0002"/>
    <s v="00000041"/>
    <x v="77"/>
    <n v="27299177683"/>
    <s v="Honorarios Medicos UTI P2024-08"/>
    <s v="ARS"/>
    <n v="1"/>
    <n v="240000"/>
    <n v="0"/>
    <n v="0"/>
    <n v="0"/>
    <n v="0"/>
    <n v="0"/>
    <n v="0"/>
    <n v="0"/>
    <n v="0"/>
    <n v="0"/>
    <n v="240000"/>
    <n v="240000"/>
    <n v="0"/>
    <x v="1"/>
    <m/>
    <d v="2024-09-20T00:00:00"/>
    <n v="240000"/>
    <m/>
    <m/>
    <m/>
    <m/>
    <m/>
    <n v="0"/>
    <m/>
    <m/>
  </r>
  <r>
    <x v="4"/>
    <d v="2024-09-17T00:00:00"/>
    <s v="FAC"/>
    <s v="A"/>
    <s v="0007"/>
    <s v="00013615"/>
    <x v="78"/>
    <n v="30715165763"/>
    <s v="Capacitor Cooltech Dual 20+2 440 V"/>
    <s v="ARS"/>
    <n v="1"/>
    <n v="5785.12"/>
    <n v="1214.8751999999999"/>
    <n v="0"/>
    <n v="0"/>
    <n v="0"/>
    <n v="0"/>
    <n v="0"/>
    <n v="0"/>
    <n v="0"/>
    <n v="1214.8751999999999"/>
    <n v="6999.9951999999994"/>
    <n v="6999.9951999999994"/>
    <m/>
    <x v="1"/>
    <m/>
    <m/>
    <n v="0"/>
    <m/>
    <m/>
    <m/>
    <m/>
    <m/>
    <n v="6999.9951999999994"/>
    <m/>
    <m/>
  </r>
  <r>
    <x v="4"/>
    <d v="2024-09-17T00:00:00"/>
    <s v="FAC"/>
    <s v="A"/>
    <s v="0006"/>
    <s v="00018850"/>
    <x v="79"/>
    <n v="20072806078"/>
    <s v="Materiales de iluminación para construcción"/>
    <s v="ARS"/>
    <n v="1"/>
    <n v="522297.19"/>
    <n v="108605.31"/>
    <n v="538.54999999999995"/>
    <n v="0"/>
    <n v="0"/>
    <n v="0"/>
    <n v="0"/>
    <n v="0"/>
    <n v="0"/>
    <n v="109143.86"/>
    <n v="631441.05000000005"/>
    <n v="631441.05000000005"/>
    <m/>
    <x v="1"/>
    <m/>
    <d v="2024-09-17T00:00:00"/>
    <n v="631441.05000000005"/>
    <m/>
    <m/>
    <m/>
    <m/>
    <m/>
    <n v="0"/>
    <m/>
    <m/>
  </r>
  <r>
    <x v="4"/>
    <d v="2024-09-17T00:00:00"/>
    <s v="FAC"/>
    <s v="C"/>
    <s v="0001"/>
    <s v="00000021"/>
    <x v="80"/>
    <n v="20264261555"/>
    <s v="Ploteo Vidrios Vinilo Impreso"/>
    <s v="ARS"/>
    <n v="1"/>
    <n v="99840"/>
    <n v="0"/>
    <n v="0"/>
    <n v="0"/>
    <n v="0"/>
    <n v="0"/>
    <n v="0"/>
    <n v="0"/>
    <n v="0"/>
    <n v="0"/>
    <n v="99840"/>
    <n v="99840"/>
    <n v="0"/>
    <x v="2"/>
    <m/>
    <m/>
    <m/>
    <m/>
    <m/>
    <m/>
    <m/>
    <m/>
    <m/>
    <m/>
    <m/>
  </r>
  <r>
    <x v="4"/>
    <d v="2024-09-17T00:00:00"/>
    <s v="FAC"/>
    <s v="B"/>
    <s v="0006"/>
    <s v="00034885"/>
    <x v="39"/>
    <n v="20202328734"/>
    <s v="Insumos varios de comida"/>
    <s v="ARS"/>
    <n v="1"/>
    <n v="2800"/>
    <n v="0"/>
    <n v="0"/>
    <n v="0"/>
    <n v="0"/>
    <n v="0"/>
    <n v="0"/>
    <n v="0"/>
    <n v="0"/>
    <n v="0"/>
    <n v="2800"/>
    <n v="2800"/>
    <n v="0"/>
    <x v="1"/>
    <m/>
    <d v="2024-09-17T00:00:00"/>
    <n v="0"/>
    <m/>
    <m/>
    <m/>
    <m/>
    <m/>
    <n v="2800"/>
    <m/>
    <m/>
  </r>
  <r>
    <x v="4"/>
    <d v="2024-09-17T00:00:00"/>
    <s v="FAC"/>
    <s v="A"/>
    <s v="0165"/>
    <s v="00055074"/>
    <x v="81"/>
    <n v="30657865725"/>
    <s v="Suministro de Gas (Factura a nombre de CHAHLE AMALIA ROSA)"/>
    <s v="ARS"/>
    <n v="1"/>
    <n v="117574.56"/>
    <n v="0"/>
    <n v="0"/>
    <n v="31745.14"/>
    <n v="0"/>
    <n v="0"/>
    <n v="3527.24"/>
    <n v="0"/>
    <n v="2788.35"/>
    <n v="31745.14"/>
    <n v="155635.29"/>
    <n v="155635.29"/>
    <n v="0"/>
    <x v="1"/>
    <m/>
    <d v="2024-10-14T00:00:00"/>
    <n v="0"/>
    <m/>
    <m/>
    <m/>
    <m/>
    <m/>
    <n v="155635.29"/>
    <m/>
    <m/>
  </r>
  <r>
    <x v="4"/>
    <d v="2024-09-18T00:00:00"/>
    <s v="FAC"/>
    <s v="C"/>
    <s v="0002"/>
    <s v="00000220"/>
    <x v="82"/>
    <n v="27328052887"/>
    <s v="Honorarios Medicos UTI P2024-08"/>
    <s v="ARS"/>
    <n v="1"/>
    <n v="683400"/>
    <n v="0"/>
    <n v="0"/>
    <n v="0"/>
    <n v="0"/>
    <n v="0"/>
    <n v="0"/>
    <n v="0"/>
    <n v="0"/>
    <n v="0"/>
    <n v="683400"/>
    <n v="683400"/>
    <n v="0"/>
    <x v="1"/>
    <m/>
    <d v="2024-09-20T00:00:00"/>
    <n v="683400"/>
    <m/>
    <m/>
    <m/>
    <m/>
    <m/>
    <n v="0"/>
    <m/>
    <m/>
  </r>
  <r>
    <x v="4"/>
    <d v="2024-09-18T00:00:00"/>
    <s v="FAC"/>
    <s v="A"/>
    <s v="0003"/>
    <s v="00000429"/>
    <x v="18"/>
    <n v="30716375184"/>
    <s v="Mercadería para oficina"/>
    <s v="ARS"/>
    <n v="1"/>
    <n v="35355.4"/>
    <n v="7424.634"/>
    <n v="0"/>
    <n v="0"/>
    <n v="0"/>
    <n v="0"/>
    <n v="0"/>
    <n v="0"/>
    <n v="0"/>
    <n v="7424.634"/>
    <n v="42780.034"/>
    <n v="42780.034"/>
    <m/>
    <x v="1"/>
    <m/>
    <m/>
    <n v="0"/>
    <m/>
    <m/>
    <m/>
    <m/>
    <m/>
    <n v="42780.034"/>
    <m/>
    <m/>
  </r>
  <r>
    <x v="4"/>
    <d v="2024-09-18T00:00:00"/>
    <s v="FAC"/>
    <s v="A"/>
    <s v="0003"/>
    <s v="00000430"/>
    <x v="18"/>
    <n v="30716375184"/>
    <s v="Mercadería para oficina"/>
    <s v="ARS"/>
    <n v="1"/>
    <n v="17941.75"/>
    <n v="3767.7674999999999"/>
    <n v="0"/>
    <n v="0"/>
    <n v="0"/>
    <n v="0"/>
    <n v="0"/>
    <n v="0"/>
    <n v="0"/>
    <n v="3767.7674999999999"/>
    <n v="21709.517500000002"/>
    <n v="21709.517500000002"/>
    <m/>
    <x v="1"/>
    <m/>
    <m/>
    <n v="0"/>
    <m/>
    <m/>
    <m/>
    <m/>
    <m/>
    <n v="21709.517500000002"/>
    <m/>
    <m/>
  </r>
  <r>
    <x v="4"/>
    <d v="2024-09-18T00:00:00"/>
    <s v="FAC"/>
    <s v="C"/>
    <s v="0002"/>
    <s v="00000036"/>
    <x v="83"/>
    <n v="27358228246"/>
    <s v="Rehabilitación kinesiologica (honorarios medicos)"/>
    <s v="ARS"/>
    <n v="1"/>
    <n v="24000"/>
    <n v="0"/>
    <n v="0"/>
    <n v="0"/>
    <n v="0"/>
    <n v="0"/>
    <n v="0"/>
    <n v="0"/>
    <n v="0"/>
    <n v="0"/>
    <n v="24000"/>
    <n v="24000"/>
    <n v="0"/>
    <x v="1"/>
    <m/>
    <d v="2024-10-08T00:00:00"/>
    <n v="24000"/>
    <m/>
    <m/>
    <m/>
    <m/>
    <m/>
    <n v="0"/>
    <m/>
    <m/>
  </r>
  <r>
    <x v="4"/>
    <d v="2024-09-18T00:00:00"/>
    <s v="FAC"/>
    <s v="C"/>
    <s v="0002"/>
    <s v="00000037"/>
    <x v="83"/>
    <n v="27358228246"/>
    <s v="Rehabilitación kinesica (honorarios medicos)"/>
    <s v="ARS"/>
    <n v="1"/>
    <n v="49716.14"/>
    <n v="0"/>
    <n v="0"/>
    <n v="0"/>
    <n v="0"/>
    <n v="0"/>
    <n v="0"/>
    <n v="0"/>
    <n v="0"/>
    <n v="0"/>
    <n v="49716.14"/>
    <n v="49716.14"/>
    <n v="0"/>
    <x v="1"/>
    <m/>
    <d v="2024-10-09T00:00:00"/>
    <n v="49716.14"/>
    <m/>
    <m/>
    <m/>
    <m/>
    <m/>
    <n v="0"/>
    <m/>
    <m/>
  </r>
  <r>
    <x v="4"/>
    <d v="2024-09-18T00:00:00"/>
    <s v="FAC"/>
    <s v="A"/>
    <s v="0172"/>
    <s v="00012619"/>
    <x v="20"/>
    <n v="30673770483"/>
    <s v="Mercadería para oficina"/>
    <s v="ARS"/>
    <n v="1"/>
    <n v="19954.38"/>
    <n v="4190.42"/>
    <n v="0"/>
    <n v="0"/>
    <n v="0"/>
    <n v="0"/>
    <n v="0"/>
    <n v="718.35768000000007"/>
    <n v="0"/>
    <n v="4190.42"/>
    <n v="24863.157680000004"/>
    <n v="24863.157680000004"/>
    <m/>
    <x v="1"/>
    <m/>
    <m/>
    <n v="0"/>
    <m/>
    <m/>
    <m/>
    <m/>
    <m/>
    <n v="24863.157680000004"/>
    <m/>
    <m/>
  </r>
  <r>
    <x v="4"/>
    <d v="2024-09-18T00:00:00"/>
    <s v="FAC"/>
    <s v="C"/>
    <s v="0002"/>
    <s v="00000149"/>
    <x v="84"/>
    <n v="20271839503"/>
    <s v="Honorarios Medicos P2024-08"/>
    <s v="ARS"/>
    <n v="1"/>
    <n v="307163.07"/>
    <n v="0"/>
    <n v="0"/>
    <n v="0"/>
    <n v="0"/>
    <n v="0"/>
    <n v="0"/>
    <n v="0"/>
    <n v="0"/>
    <n v="0"/>
    <n v="307163.07"/>
    <n v="307163.07"/>
    <n v="0"/>
    <x v="1"/>
    <m/>
    <d v="2024-09-27T00:00:00"/>
    <n v="307163.07"/>
    <m/>
    <m/>
    <m/>
    <m/>
    <m/>
    <n v="0"/>
    <m/>
    <m/>
  </r>
  <r>
    <x v="4"/>
    <d v="2024-09-19T00:00:00"/>
    <s v="FAC"/>
    <s v="A"/>
    <s v="0003"/>
    <s v="00008979"/>
    <x v="85"/>
    <n v="30716111748"/>
    <s v="Insumos para obra en construccion"/>
    <s v="ARS"/>
    <n v="1"/>
    <n v="209958.508"/>
    <n v="44091.286679999997"/>
    <n v="0"/>
    <n v="0"/>
    <n v="0"/>
    <n v="0"/>
    <n v="0"/>
    <n v="0"/>
    <n v="0"/>
    <n v="44091.286679999997"/>
    <n v="254049.79467999999"/>
    <n v="254049.79467999999"/>
    <n v="0"/>
    <x v="1"/>
    <m/>
    <d v="2024-10-03T00:00:00"/>
    <n v="254049.79467999999"/>
    <m/>
    <m/>
    <m/>
    <m/>
    <m/>
    <n v="0"/>
    <m/>
    <m/>
  </r>
  <r>
    <x v="4"/>
    <d v="2024-09-19T00:00:00"/>
    <s v="FAC"/>
    <s v="C"/>
    <s v="0002"/>
    <s v="00000836"/>
    <x v="10"/>
    <n v="20222549788"/>
    <s v="Soporte Sistema Informatico P2024-08"/>
    <s v="ARS"/>
    <n v="1"/>
    <n v="241970"/>
    <n v="0"/>
    <n v="0"/>
    <n v="0"/>
    <n v="0"/>
    <n v="0"/>
    <n v="0"/>
    <n v="0"/>
    <n v="0"/>
    <n v="0"/>
    <n v="241970"/>
    <n v="241970"/>
    <m/>
    <x v="1"/>
    <m/>
    <d v="2024-10-03T00:00:00"/>
    <n v="241970"/>
    <m/>
    <m/>
    <m/>
    <m/>
    <m/>
    <n v="0"/>
    <m/>
    <m/>
  </r>
  <r>
    <x v="4"/>
    <d v="2024-09-19T00:00:00"/>
    <s v="FAC"/>
    <s v="A"/>
    <s v="0017"/>
    <s v="00000021"/>
    <x v="22"/>
    <n v="33716385359"/>
    <s v="Insumos de Farmacia"/>
    <s v="ARS"/>
    <n v="1"/>
    <n v="0"/>
    <n v="0"/>
    <n v="0"/>
    <n v="0"/>
    <n v="0"/>
    <n v="1890000"/>
    <n v="0"/>
    <n v="0"/>
    <n v="0"/>
    <n v="0"/>
    <n v="1890000"/>
    <n v="1890000"/>
    <n v="0"/>
    <x v="1"/>
    <m/>
    <d v="2024-10-18T00:00:00"/>
    <m/>
    <m/>
    <m/>
    <m/>
    <m/>
    <m/>
    <m/>
    <m/>
    <s v="CH 30 y 60"/>
  </r>
  <r>
    <x v="4"/>
    <d v="2024-09-19T00:00:00"/>
    <s v="FAC"/>
    <s v="A"/>
    <s v="0006"/>
    <s v="00002484"/>
    <x v="8"/>
    <n v="30716939762"/>
    <s v="Mercadería para oficina"/>
    <s v="ARS"/>
    <n v="1"/>
    <n v="90072"/>
    <n v="18915.12"/>
    <n v="0"/>
    <n v="0"/>
    <n v="0"/>
    <n v="0"/>
    <n v="0"/>
    <n v="0"/>
    <n v="0"/>
    <n v="18915.12"/>
    <n v="108987.12"/>
    <n v="108987.12"/>
    <n v="0"/>
    <x v="1"/>
    <m/>
    <d v="2024-10-23T00:00:00"/>
    <n v="108987.12"/>
    <m/>
    <m/>
    <m/>
    <m/>
    <m/>
    <n v="0"/>
    <m/>
    <m/>
  </r>
  <r>
    <x v="4"/>
    <d v="2024-09-19T00:00:00"/>
    <s v="FAC"/>
    <s v="C"/>
    <s v="0003"/>
    <s v="00000148"/>
    <x v="86"/>
    <n v="20076367834"/>
    <s v="Insumos varios "/>
    <s v="ARS"/>
    <n v="1"/>
    <n v="19000"/>
    <n v="0"/>
    <n v="0"/>
    <n v="0"/>
    <n v="0"/>
    <n v="0"/>
    <n v="0"/>
    <n v="0"/>
    <n v="0"/>
    <n v="0"/>
    <n v="19000"/>
    <n v="19000"/>
    <n v="0"/>
    <x v="1"/>
    <m/>
    <m/>
    <n v="0"/>
    <m/>
    <m/>
    <m/>
    <m/>
    <m/>
    <n v="19000"/>
    <m/>
    <m/>
  </r>
  <r>
    <x v="4"/>
    <d v="2024-09-19T00:00:00"/>
    <s v="FAC"/>
    <s v="A"/>
    <s v="0034"/>
    <s v="00006783"/>
    <x v="87"/>
    <n v="33681246989"/>
    <s v="Impresora Brother HL 1212 W"/>
    <s v="ARS"/>
    <n v="1"/>
    <n v="202714.93"/>
    <n v="0"/>
    <n v="21285.067649999997"/>
    <n v="0"/>
    <n v="0"/>
    <n v="0"/>
    <n v="0"/>
    <n v="0"/>
    <n v="0"/>
    <n v="21285.067649999997"/>
    <n v="223999.99764999998"/>
    <n v="223999.99764999998"/>
    <n v="0"/>
    <x v="1"/>
    <m/>
    <d v="2024-09-19T00:00:00"/>
    <n v="0"/>
    <m/>
    <m/>
    <m/>
    <m/>
    <m/>
    <n v="223999.99764999998"/>
    <m/>
    <m/>
  </r>
  <r>
    <x v="4"/>
    <d v="2024-09-20T00:00:00"/>
    <s v="FAC"/>
    <s v="C"/>
    <s v="0002"/>
    <s v="00000035"/>
    <x v="88"/>
    <n v="23332501879"/>
    <s v="Servicio Enfermeria UTI P2024-08"/>
    <s v="ARS"/>
    <n v="1"/>
    <n v="376800"/>
    <n v="0"/>
    <n v="0"/>
    <n v="0"/>
    <n v="0"/>
    <n v="0"/>
    <n v="0"/>
    <n v="0"/>
    <n v="0"/>
    <n v="0"/>
    <n v="376800"/>
    <n v="376800"/>
    <n v="0"/>
    <x v="1"/>
    <m/>
    <d v="2024-09-23T00:00:00"/>
    <n v="376800"/>
    <m/>
    <m/>
    <m/>
    <m/>
    <m/>
    <n v="0"/>
    <m/>
    <m/>
  </r>
  <r>
    <x v="4"/>
    <d v="2024-09-20T00:00:00"/>
    <s v="FAC"/>
    <s v="C"/>
    <s v="0001"/>
    <s v="00000022"/>
    <x v="89"/>
    <n v="27346203647"/>
    <s v="Honorarios Enfermeria UTI P2024-08"/>
    <s v="ARS"/>
    <n v="1"/>
    <n v="404800"/>
    <n v="0"/>
    <n v="0"/>
    <n v="0"/>
    <n v="0"/>
    <n v="0"/>
    <n v="0"/>
    <n v="0"/>
    <n v="0"/>
    <n v="0"/>
    <n v="404800"/>
    <n v="404800"/>
    <n v="0"/>
    <x v="1"/>
    <m/>
    <d v="2024-09-23T00:00:00"/>
    <n v="404800"/>
    <m/>
    <m/>
    <m/>
    <m/>
    <m/>
    <n v="0"/>
    <m/>
    <m/>
  </r>
  <r>
    <x v="4"/>
    <d v="2024-09-20T00:00:00"/>
    <s v="FAC"/>
    <s v="A"/>
    <s v="0004"/>
    <s v="00000680"/>
    <x v="28"/>
    <n v="20138455654"/>
    <s v="Toner Alternativo"/>
    <s v="ARS"/>
    <n v="1"/>
    <n v="5537.19"/>
    <n v="1162.81"/>
    <n v="0"/>
    <n v="0"/>
    <n v="0"/>
    <n v="0"/>
    <n v="0"/>
    <n v="0"/>
    <n v="0"/>
    <n v="1162.81"/>
    <n v="6700"/>
    <n v="6700"/>
    <n v="0"/>
    <x v="1"/>
    <m/>
    <m/>
    <n v="0"/>
    <m/>
    <m/>
    <m/>
    <m/>
    <m/>
    <n v="6700"/>
    <m/>
    <m/>
  </r>
  <r>
    <x v="4"/>
    <d v="2024-09-20T00:00:00"/>
    <s v="FAC"/>
    <s v="C"/>
    <s v="0001"/>
    <s v="00000014"/>
    <x v="90"/>
    <n v="27386533550"/>
    <s v="Honorarios de Mucama UTI P2024-08"/>
    <s v="ARS"/>
    <n v="1"/>
    <n v="528000"/>
    <n v="0"/>
    <n v="0"/>
    <n v="0"/>
    <n v="0"/>
    <n v="0"/>
    <n v="0"/>
    <n v="0"/>
    <n v="0"/>
    <n v="0"/>
    <n v="528000"/>
    <n v="528000"/>
    <n v="0"/>
    <x v="1"/>
    <m/>
    <d v="2024-09-23T00:00:00"/>
    <n v="528000"/>
    <m/>
    <m/>
    <m/>
    <m/>
    <m/>
    <n v="0"/>
    <m/>
    <m/>
  </r>
  <r>
    <x v="4"/>
    <d v="2024-09-20T00:00:00"/>
    <s v="FAC"/>
    <s v="C"/>
    <s v="0002"/>
    <s v="00000104"/>
    <x v="91"/>
    <n v="27330903908"/>
    <s v="Servicio Enfermeria Piso P2024-08"/>
    <s v="ARS"/>
    <n v="1"/>
    <n v="369600"/>
    <n v="0"/>
    <n v="0"/>
    <n v="0"/>
    <n v="0"/>
    <n v="0"/>
    <n v="0"/>
    <n v="0"/>
    <n v="0"/>
    <n v="0"/>
    <n v="369600"/>
    <n v="369600"/>
    <n v="0"/>
    <x v="1"/>
    <m/>
    <d v="2024-09-23T00:00:00"/>
    <n v="369600"/>
    <m/>
    <m/>
    <m/>
    <m/>
    <m/>
    <n v="0"/>
    <m/>
    <m/>
  </r>
  <r>
    <x v="4"/>
    <d v="2024-09-20T00:00:00"/>
    <s v="FAC"/>
    <s v="A"/>
    <s v="0003"/>
    <s v="00000237"/>
    <x v="92"/>
    <n v="20215810977"/>
    <s v="Imprenta"/>
    <s v="ARS"/>
    <n v="1"/>
    <n v="80991.73"/>
    <n v="17008.263299999999"/>
    <n v="0"/>
    <n v="0"/>
    <n v="0"/>
    <n v="0"/>
    <n v="0"/>
    <n v="0"/>
    <n v="0"/>
    <n v="17008.263299999999"/>
    <n v="97999.993300000002"/>
    <n v="97999.993300000002"/>
    <n v="0"/>
    <x v="1"/>
    <m/>
    <m/>
    <n v="0"/>
    <m/>
    <m/>
    <m/>
    <m/>
    <m/>
    <n v="97999.993300000002"/>
    <m/>
    <m/>
  </r>
  <r>
    <x v="4"/>
    <d v="2024-09-20T00:00:00"/>
    <s v="FAC"/>
    <s v="C"/>
    <s v="1001"/>
    <s v="00000220"/>
    <x v="93"/>
    <n v="27246978196"/>
    <s v="Honorarios Medicos P2024-08"/>
    <s v="ARS"/>
    <n v="1"/>
    <n v="360000"/>
    <n v="0"/>
    <n v="0"/>
    <n v="0"/>
    <n v="0"/>
    <n v="0"/>
    <n v="0"/>
    <n v="0"/>
    <n v="0"/>
    <n v="0"/>
    <n v="360000"/>
    <n v="360000"/>
    <n v="0"/>
    <x v="1"/>
    <m/>
    <d v="2024-09-20T00:00:00"/>
    <n v="360000"/>
    <m/>
    <m/>
    <m/>
    <m/>
    <m/>
    <n v="0"/>
    <m/>
    <m/>
  </r>
  <r>
    <x v="4"/>
    <d v="2024-09-20T00:00:00"/>
    <s v="FAC"/>
    <s v="C"/>
    <s v="0002"/>
    <s v="00000157"/>
    <x v="94"/>
    <n v="20286349162"/>
    <s v="Honorarios abogado"/>
    <s v="ARS"/>
    <n v="1"/>
    <n v="200000"/>
    <n v="0"/>
    <n v="0"/>
    <n v="0"/>
    <n v="0"/>
    <n v="0"/>
    <n v="0"/>
    <n v="0"/>
    <n v="0"/>
    <n v="0"/>
    <n v="200000"/>
    <n v="200000"/>
    <n v="0"/>
    <x v="1"/>
    <m/>
    <d v="2024-09-23T00:00:00"/>
    <n v="200000"/>
    <m/>
    <m/>
    <m/>
    <m/>
    <m/>
    <n v="0"/>
    <m/>
    <m/>
  </r>
  <r>
    <x v="4"/>
    <d v="2024-09-20T00:00:00"/>
    <s v="FAC"/>
    <s v="C"/>
    <s v="0002"/>
    <s v="00000007"/>
    <x v="95"/>
    <n v="27235843604"/>
    <s v="Servicio Enfermeria UTI P2024-08 (Arias Belen)"/>
    <s v="ARS"/>
    <n v="1"/>
    <n v="372000"/>
    <n v="0"/>
    <n v="0"/>
    <n v="0"/>
    <n v="0"/>
    <n v="0"/>
    <n v="0"/>
    <n v="0"/>
    <n v="0"/>
    <n v="0"/>
    <n v="372000"/>
    <n v="372000"/>
    <n v="0"/>
    <x v="1"/>
    <m/>
    <d v="2024-09-23T00:00:00"/>
    <n v="372000"/>
    <m/>
    <m/>
    <m/>
    <m/>
    <m/>
    <n v="0"/>
    <m/>
    <m/>
  </r>
  <r>
    <x v="4"/>
    <d v="2024-09-20T00:00:00"/>
    <s v="FAC"/>
    <s v="A"/>
    <s v="0025"/>
    <s v="00001038"/>
    <x v="96"/>
    <n v="33715472649"/>
    <s v="Bolsas de consorcio"/>
    <s v="ARS"/>
    <n v="1"/>
    <n v="14132.23"/>
    <n v="2967.7682999999997"/>
    <n v="0"/>
    <n v="0"/>
    <n v="0"/>
    <n v="0"/>
    <n v="0"/>
    <n v="508.76028000000002"/>
    <n v="0"/>
    <n v="2967.7682999999997"/>
    <n v="17608.758579999998"/>
    <n v="17608.758579999998"/>
    <n v="0"/>
    <x v="1"/>
    <m/>
    <m/>
    <n v="0"/>
    <m/>
    <m/>
    <m/>
    <m/>
    <m/>
    <n v="17608.758579999998"/>
    <m/>
    <m/>
  </r>
  <r>
    <x v="4"/>
    <d v="2024-09-20T00:00:00"/>
    <s v="FAC"/>
    <s v="C"/>
    <s v="0001"/>
    <s v="00000008"/>
    <x v="97"/>
    <n v="23386529744"/>
    <s v="Honorarios de Mucama UTI P2024-08"/>
    <s v="ARS"/>
    <n v="1"/>
    <n v="496000"/>
    <n v="0"/>
    <n v="0"/>
    <n v="0"/>
    <n v="0"/>
    <n v="0"/>
    <n v="0"/>
    <n v="0"/>
    <n v="0"/>
    <n v="0"/>
    <n v="496000"/>
    <n v="496000"/>
    <n v="0"/>
    <x v="1"/>
    <m/>
    <d v="2024-09-23T00:00:00"/>
    <n v="496000"/>
    <m/>
    <m/>
    <m/>
    <m/>
    <m/>
    <n v="0"/>
    <m/>
    <m/>
  </r>
  <r>
    <x v="4"/>
    <d v="2024-09-20T00:00:00"/>
    <s v="FAC"/>
    <s v="A"/>
    <s v="5003"/>
    <s v="02618828"/>
    <x v="98"/>
    <n v="30518408689"/>
    <s v="Comida para el BAR"/>
    <s v="ARS"/>
    <n v="1"/>
    <n v="37344.480000000003"/>
    <n v="7842.3407999999999"/>
    <n v="0"/>
    <n v="0"/>
    <n v="0"/>
    <n v="0"/>
    <n v="1120.3344"/>
    <n v="1445.66"/>
    <n v="2973.7599999999998"/>
    <n v="7842.3407999999999"/>
    <n v="50726.575200000007"/>
    <n v="50726.575200000007"/>
    <n v="0"/>
    <x v="1"/>
    <m/>
    <m/>
    <m/>
    <m/>
    <m/>
    <m/>
    <m/>
    <m/>
    <m/>
    <m/>
    <m/>
  </r>
  <r>
    <x v="4"/>
    <d v="2024-09-20T00:00:00"/>
    <s v="FAC"/>
    <s v="C"/>
    <s v="0002"/>
    <s v="00000050"/>
    <x v="99"/>
    <n v="23286334334"/>
    <s v="Honorarios Servicio Enfermeria P2024-08"/>
    <s v="ARS"/>
    <n v="1"/>
    <n v="359200"/>
    <n v="0"/>
    <n v="0"/>
    <n v="0"/>
    <n v="0"/>
    <n v="0"/>
    <n v="0"/>
    <n v="0"/>
    <n v="0"/>
    <n v="0"/>
    <n v="359200"/>
    <n v="359200"/>
    <n v="0"/>
    <x v="1"/>
    <m/>
    <d v="2024-09-23T00:00:00"/>
    <n v="359200"/>
    <m/>
    <m/>
    <m/>
    <m/>
    <m/>
    <n v="0"/>
    <m/>
    <m/>
  </r>
  <r>
    <x v="4"/>
    <d v="2024-09-20T00:00:00"/>
    <s v="FAC"/>
    <s v="A"/>
    <s v="0002"/>
    <s v="00003255"/>
    <x v="43"/>
    <n v="30712291237"/>
    <s v="Equipo de cirugia Mayor esteril descartable"/>
    <s v="ARS"/>
    <n v="1"/>
    <n v="280860"/>
    <n v="58980.6"/>
    <n v="0"/>
    <n v="0"/>
    <n v="0"/>
    <n v="0"/>
    <n v="0"/>
    <n v="0"/>
    <n v="0"/>
    <n v="58980.6"/>
    <n v="339840.6"/>
    <n v="339840.6"/>
    <n v="5617.2"/>
    <x v="1"/>
    <m/>
    <d v="2024-10-18T00:00:00"/>
    <n v="334223.39999999997"/>
    <m/>
    <m/>
    <m/>
    <m/>
    <m/>
    <n v="0"/>
    <m/>
    <m/>
  </r>
  <r>
    <x v="4"/>
    <d v="2024-09-20T00:00:00"/>
    <s v="FAC"/>
    <s v="C"/>
    <s v="0002"/>
    <s v="00000081"/>
    <x v="100"/>
    <n v="27335929271"/>
    <s v="Servicio Enfermeria UTI P2024-08"/>
    <s v="ARS"/>
    <n v="1"/>
    <n v="379200"/>
    <n v="0"/>
    <n v="0"/>
    <n v="0"/>
    <n v="0"/>
    <n v="0"/>
    <n v="0"/>
    <n v="0"/>
    <n v="0"/>
    <n v="0"/>
    <n v="379200"/>
    <n v="379200"/>
    <n v="0"/>
    <x v="1"/>
    <m/>
    <d v="2024-09-23T00:00:00"/>
    <n v="379200"/>
    <m/>
    <m/>
    <m/>
    <m/>
    <m/>
    <n v="0"/>
    <m/>
    <m/>
  </r>
  <r>
    <x v="4"/>
    <d v="2024-09-20T00:00:00"/>
    <s v="FAC"/>
    <s v="C"/>
    <s v="0003"/>
    <s v="00000083"/>
    <x v="101"/>
    <n v="27386520599"/>
    <s v="Servicio Enfermeria UTI P2024-08"/>
    <s v="ARS"/>
    <n v="1"/>
    <n v="379200"/>
    <n v="0"/>
    <n v="0"/>
    <n v="0"/>
    <n v="0"/>
    <n v="0"/>
    <n v="0"/>
    <n v="0"/>
    <n v="0"/>
    <n v="0"/>
    <n v="379200"/>
    <n v="379200"/>
    <n v="0"/>
    <x v="1"/>
    <m/>
    <d v="2024-09-23T00:00:00"/>
    <n v="379200"/>
    <m/>
    <m/>
    <m/>
    <m/>
    <m/>
    <n v="0"/>
    <m/>
    <m/>
  </r>
  <r>
    <x v="4"/>
    <d v="2024-09-20T00:00:00"/>
    <s v="FAC"/>
    <s v="C"/>
    <s v="0003"/>
    <s v="00000075"/>
    <x v="102"/>
    <n v="27260306680"/>
    <s v="Honorarios Mucama (Rodriguez Balderrama Claudia) P2024-08"/>
    <s v="ARS"/>
    <n v="1"/>
    <n v="384000"/>
    <n v="0"/>
    <n v="0"/>
    <n v="0"/>
    <n v="0"/>
    <n v="0"/>
    <n v="0"/>
    <n v="0"/>
    <n v="0"/>
    <n v="0"/>
    <n v="384000"/>
    <n v="384000"/>
    <n v="0"/>
    <x v="1"/>
    <m/>
    <d v="2024-09-23T00:00:00"/>
    <n v="384000"/>
    <m/>
    <m/>
    <m/>
    <m/>
    <m/>
    <n v="0"/>
    <m/>
    <m/>
  </r>
  <r>
    <x v="4"/>
    <d v="2024-09-20T00:00:00"/>
    <s v="FAC"/>
    <s v="C"/>
    <s v="0003"/>
    <s v="00000074"/>
    <x v="102"/>
    <n v="27260306680"/>
    <s v="Honorarios Mucama P2024-08"/>
    <s v="ARS"/>
    <n v="1"/>
    <n v="432000"/>
    <n v="0"/>
    <n v="0"/>
    <n v="0"/>
    <n v="0"/>
    <n v="0"/>
    <n v="0"/>
    <n v="0"/>
    <n v="0"/>
    <n v="0"/>
    <n v="432000"/>
    <n v="432000"/>
    <n v="0"/>
    <x v="1"/>
    <m/>
    <d v="2024-09-23T00:00:00"/>
    <n v="432000"/>
    <m/>
    <m/>
    <m/>
    <m/>
    <m/>
    <n v="0"/>
    <m/>
    <m/>
  </r>
  <r>
    <x v="4"/>
    <d v="2024-09-21T00:00:00"/>
    <s v="FAC"/>
    <s v="C"/>
    <s v="0001"/>
    <s v="00000004"/>
    <x v="103"/>
    <n v="20288248398"/>
    <s v="Honorarios por servicios Piso P2024-08 (Aramayo Angelica)"/>
    <s v="ARS"/>
    <n v="1"/>
    <n v="35200"/>
    <n v="0"/>
    <n v="0"/>
    <n v="0"/>
    <n v="0"/>
    <n v="0"/>
    <n v="0"/>
    <n v="0"/>
    <n v="0"/>
    <n v="0"/>
    <n v="35200"/>
    <n v="35200"/>
    <n v="0"/>
    <x v="1"/>
    <m/>
    <d v="2024-09-23T00:00:00"/>
    <n v="35200"/>
    <m/>
    <m/>
    <m/>
    <m/>
    <m/>
    <n v="0"/>
    <m/>
    <m/>
  </r>
  <r>
    <x v="4"/>
    <d v="2024-09-21T00:00:00"/>
    <s v="FAC"/>
    <s v="A"/>
    <s v="0003"/>
    <s v="00006315"/>
    <x v="22"/>
    <n v="33716385359"/>
    <s v="Insumos de Farmacia"/>
    <s v="ARS"/>
    <n v="1"/>
    <n v="260300"/>
    <n v="54663"/>
    <n v="0"/>
    <n v="0"/>
    <n v="0"/>
    <n v="865500"/>
    <n v="0"/>
    <n v="40528.800000000003"/>
    <n v="0"/>
    <n v="54663"/>
    <n v="1220991.8"/>
    <n v="1220991.8"/>
    <n v="0"/>
    <x v="1"/>
    <m/>
    <d v="2024-10-18T00:00:00"/>
    <m/>
    <m/>
    <m/>
    <m/>
    <m/>
    <m/>
    <m/>
    <m/>
    <s v="CH 30 y 60"/>
  </r>
  <r>
    <x v="4"/>
    <d v="2024-09-23T00:00:00"/>
    <s v="FAC"/>
    <s v="C"/>
    <s v="0001"/>
    <s v="00000007"/>
    <x v="104"/>
    <n v="27414097087"/>
    <s v="Servicio Enfermeria Piso P2024-08"/>
    <s v="ARS"/>
    <n v="1"/>
    <n v="165600"/>
    <n v="0"/>
    <n v="0"/>
    <n v="0"/>
    <n v="0"/>
    <n v="0"/>
    <n v="0"/>
    <n v="0"/>
    <n v="0"/>
    <n v="0"/>
    <n v="165600"/>
    <n v="165600"/>
    <n v="0"/>
    <x v="1"/>
    <m/>
    <d v="2024-09-26T00:00:00"/>
    <n v="165600"/>
    <m/>
    <m/>
    <m/>
    <m/>
    <m/>
    <n v="0"/>
    <m/>
    <m/>
  </r>
  <r>
    <x v="4"/>
    <d v="2024-09-23T00:00:00"/>
    <s v="FAC"/>
    <s v="C"/>
    <s v="0002"/>
    <s v="00000015"/>
    <x v="105"/>
    <n v="27382124184"/>
    <s v="Servicio Enfermeria UTI P2024-08"/>
    <s v="ARS"/>
    <n v="1"/>
    <n v="16800"/>
    <n v="0"/>
    <n v="0"/>
    <n v="0"/>
    <n v="0"/>
    <n v="0"/>
    <n v="0"/>
    <n v="0"/>
    <n v="0"/>
    <n v="0"/>
    <n v="16800"/>
    <n v="16800"/>
    <n v="0"/>
    <x v="1"/>
    <m/>
    <d v="2024-09-26T00:00:00"/>
    <n v="16800"/>
    <m/>
    <m/>
    <m/>
    <m/>
    <m/>
    <n v="0"/>
    <m/>
    <m/>
  </r>
  <r>
    <x v="4"/>
    <d v="2024-09-23T00:00:00"/>
    <s v="FAC"/>
    <s v="C"/>
    <s v="0001"/>
    <s v="00000035"/>
    <x v="106"/>
    <n v="23339846324"/>
    <s v="Servicio Enfermeria UTI P2024-08"/>
    <s v="ARS"/>
    <n v="1"/>
    <n v="216000"/>
    <n v="0"/>
    <n v="0"/>
    <n v="0"/>
    <n v="0"/>
    <n v="0"/>
    <n v="0"/>
    <n v="0"/>
    <n v="0"/>
    <n v="0"/>
    <n v="216000"/>
    <n v="216000"/>
    <n v="0"/>
    <x v="1"/>
    <m/>
    <d v="2024-09-27T00:00:00"/>
    <n v="216000"/>
    <m/>
    <m/>
    <m/>
    <m/>
    <m/>
    <n v="0"/>
    <m/>
    <m/>
  </r>
  <r>
    <x v="4"/>
    <d v="2024-09-23T00:00:00"/>
    <s v="N/D"/>
    <s v="A"/>
    <s v="0002"/>
    <s v="00000130"/>
    <x v="13"/>
    <n v="30629233144"/>
    <s v="Diferencia de Cambio Cuota 2° Ecografo"/>
    <s v="ARS"/>
    <n v="1"/>
    <n v="995000"/>
    <n v="0"/>
    <n v="104475"/>
    <n v="0"/>
    <n v="0"/>
    <n v="0"/>
    <n v="0"/>
    <n v="0"/>
    <n v="0"/>
    <n v="104475"/>
    <n v="1099475"/>
    <n v="1099475"/>
    <n v="19900"/>
    <x v="1"/>
    <m/>
    <d v="2024-10-24T00:00:00"/>
    <n v="1079575"/>
    <m/>
    <m/>
    <m/>
    <m/>
    <m/>
    <n v="0"/>
    <m/>
    <m/>
  </r>
  <r>
    <x v="4"/>
    <d v="2024-09-23T00:00:00"/>
    <s v="TICKET"/>
    <s v="C"/>
    <s v="0001"/>
    <s v="00000054"/>
    <x v="107"/>
    <n v="27410953345"/>
    <s v="Servicio Enfermeria Piso P2024-08 (Ivana Gonzales)"/>
    <s v="ARS"/>
    <n v="1"/>
    <n v="119200"/>
    <n v="0"/>
    <n v="0"/>
    <n v="0"/>
    <n v="0"/>
    <n v="0"/>
    <n v="0"/>
    <n v="0"/>
    <n v="0"/>
    <n v="0"/>
    <n v="119200"/>
    <n v="119200"/>
    <n v="0"/>
    <x v="1"/>
    <m/>
    <d v="2024-09-27T00:00:00"/>
    <n v="119200"/>
    <m/>
    <m/>
    <m/>
    <m/>
    <m/>
    <n v="0"/>
    <m/>
    <m/>
  </r>
  <r>
    <x v="4"/>
    <d v="2024-09-23T00:00:00"/>
    <s v="TICKET"/>
    <s v="C"/>
    <s v="0001"/>
    <s v="00000055"/>
    <x v="107"/>
    <n v="27410953345"/>
    <s v="Servicio Enfermeria Piso P2024-08"/>
    <s v="ARS"/>
    <n v="1"/>
    <n v="128000"/>
    <n v="0"/>
    <n v="0"/>
    <n v="0"/>
    <n v="0"/>
    <n v="0"/>
    <n v="0"/>
    <n v="0"/>
    <n v="0"/>
    <n v="0"/>
    <n v="128000"/>
    <n v="128000"/>
    <n v="0"/>
    <x v="1"/>
    <m/>
    <d v="2024-09-25T00:00:00"/>
    <n v="128000"/>
    <m/>
    <m/>
    <m/>
    <m/>
    <m/>
    <n v="0"/>
    <m/>
    <m/>
  </r>
  <r>
    <x v="4"/>
    <d v="2024-09-23T00:00:00"/>
    <s v="TICKET"/>
    <s v="C"/>
    <s v="0001"/>
    <s v="00000056"/>
    <x v="107"/>
    <n v="27410953345"/>
    <s v="Servicio Enfermeria Piso P2024-08"/>
    <s v="ARS"/>
    <n v="1"/>
    <n v="128000"/>
    <n v="0"/>
    <n v="0"/>
    <n v="0"/>
    <n v="0"/>
    <n v="0"/>
    <n v="0"/>
    <n v="0"/>
    <n v="0"/>
    <n v="0"/>
    <n v="128000"/>
    <n v="128000"/>
    <n v="0"/>
    <x v="1"/>
    <m/>
    <d v="2024-09-27T00:00:00"/>
    <n v="128000"/>
    <m/>
    <m/>
    <m/>
    <m/>
    <m/>
    <n v="0"/>
    <m/>
    <m/>
  </r>
  <r>
    <x v="4"/>
    <d v="2024-09-23T00:00:00"/>
    <s v="FAC"/>
    <s v="C"/>
    <s v="0001"/>
    <s v="00000046"/>
    <x v="108"/>
    <n v="27376021829"/>
    <s v="Servicio de instrumentación quirofano P2024-08"/>
    <s v="ARS"/>
    <n v="1"/>
    <n v="348000"/>
    <n v="0"/>
    <n v="0"/>
    <n v="0"/>
    <n v="0"/>
    <n v="0"/>
    <n v="0"/>
    <n v="0"/>
    <n v="0"/>
    <n v="0"/>
    <n v="348000"/>
    <n v="348000"/>
    <n v="0"/>
    <x v="1"/>
    <m/>
    <d v="2024-09-25T00:00:00"/>
    <n v="348000"/>
    <m/>
    <m/>
    <m/>
    <m/>
    <m/>
    <n v="0"/>
    <m/>
    <m/>
  </r>
  <r>
    <x v="4"/>
    <d v="2024-09-23T00:00:00"/>
    <s v="FAC"/>
    <s v="C"/>
    <s v="0001"/>
    <s v="00000073"/>
    <x v="109"/>
    <n v="27357831267"/>
    <s v="Servicio Enfermeria Piso P2024-08"/>
    <s v="ARS"/>
    <n v="1"/>
    <n v="219200"/>
    <n v="0"/>
    <n v="0"/>
    <n v="0"/>
    <n v="0"/>
    <n v="0"/>
    <n v="0"/>
    <n v="0"/>
    <n v="0"/>
    <n v="0"/>
    <n v="219200"/>
    <n v="219200"/>
    <n v="0"/>
    <x v="1"/>
    <m/>
    <d v="2024-09-25T00:00:00"/>
    <n v="219200"/>
    <m/>
    <m/>
    <m/>
    <m/>
    <m/>
    <n v="0"/>
    <m/>
    <m/>
  </r>
  <r>
    <x v="4"/>
    <d v="2024-09-23T00:00:00"/>
    <s v="TICKET"/>
    <s v="C"/>
    <s v="0001"/>
    <s v="00000004"/>
    <x v="110"/>
    <n v="27373720904"/>
    <s v="Servicio de instrumentación quirofano P2024-08 (Velazco Melisa)"/>
    <s v="ARS"/>
    <n v="1"/>
    <n v="131400"/>
    <n v="0"/>
    <n v="0"/>
    <n v="0"/>
    <n v="0"/>
    <n v="0"/>
    <n v="0"/>
    <n v="0"/>
    <n v="0"/>
    <n v="0"/>
    <n v="131400"/>
    <n v="131400"/>
    <n v="0"/>
    <x v="1"/>
    <m/>
    <d v="2024-09-25T00:00:00"/>
    <n v="131400"/>
    <m/>
    <m/>
    <m/>
    <m/>
    <m/>
    <n v="0"/>
    <m/>
    <m/>
  </r>
  <r>
    <x v="4"/>
    <d v="2024-09-24T00:00:00"/>
    <s v="N/D"/>
    <s v="A"/>
    <s v="0024"/>
    <s v="00188071"/>
    <x v="111"/>
    <n v="30604958640"/>
    <s v="Prestaciones exentas"/>
    <s v="ARS"/>
    <n v="1"/>
    <n v="0"/>
    <n v="0"/>
    <n v="0"/>
    <n v="0"/>
    <n v="0"/>
    <n v="134152.93"/>
    <n v="0"/>
    <n v="0"/>
    <n v="0"/>
    <n v="0"/>
    <n v="134152.93"/>
    <n v="134152.93"/>
    <n v="0"/>
    <x v="2"/>
    <m/>
    <m/>
    <m/>
    <m/>
    <m/>
    <m/>
    <m/>
    <m/>
    <m/>
    <m/>
    <m/>
  </r>
  <r>
    <x v="4"/>
    <d v="2024-09-24T00:00:00"/>
    <s v="FAC"/>
    <s v="C"/>
    <s v="0001"/>
    <s v="00000002"/>
    <x v="112"/>
    <n v="27434989693"/>
    <s v="Servicios médicos administrativos generales prestados P2024-08"/>
    <s v="ARS"/>
    <n v="1"/>
    <n v="1000000"/>
    <n v="0"/>
    <n v="0"/>
    <n v="0"/>
    <n v="0"/>
    <n v="0"/>
    <n v="0"/>
    <n v="0"/>
    <n v="0"/>
    <n v="0"/>
    <n v="1000000"/>
    <n v="1000000"/>
    <n v="0"/>
    <x v="1"/>
    <m/>
    <m/>
    <n v="1000000"/>
    <m/>
    <m/>
    <m/>
    <m/>
    <m/>
    <n v="0"/>
    <m/>
    <m/>
  </r>
  <r>
    <x v="4"/>
    <d v="2024-09-24T00:00:00"/>
    <s v="FAC"/>
    <s v="A"/>
    <s v="0003"/>
    <s v="00028265"/>
    <x v="113"/>
    <n v="30710657315"/>
    <s v="Insumos de Farmacia"/>
    <s v="ARS"/>
    <n v="1"/>
    <n v="59012.93"/>
    <n v="12392.7153"/>
    <n v="0"/>
    <n v="0"/>
    <n v="0"/>
    <n v="0"/>
    <n v="0"/>
    <n v="0"/>
    <n v="0"/>
    <n v="12392.7153"/>
    <n v="71405.645300000004"/>
    <n v="71405.645300000004"/>
    <m/>
    <x v="1"/>
    <s v="vencida"/>
    <d v="2024-12-06T00:00:00"/>
    <m/>
    <m/>
    <m/>
    <m/>
    <m/>
    <m/>
    <m/>
    <m/>
    <m/>
  </r>
  <r>
    <x v="4"/>
    <d v="2024-09-24T00:00:00"/>
    <s v="FAC"/>
    <s v="A"/>
    <s v="0004"/>
    <s v="00025241"/>
    <x v="35"/>
    <n v="33631274329"/>
    <s v="Mantenimiento Ascensor P2024-09"/>
    <s v="ARS"/>
    <n v="1"/>
    <n v="51040.72"/>
    <n v="0"/>
    <n v="5359.2755999999999"/>
    <n v="0"/>
    <n v="0"/>
    <n v="0"/>
    <n v="0"/>
    <n v="1837.4659200000003"/>
    <n v="0"/>
    <n v="5359.2755999999999"/>
    <n v="58237.461520000004"/>
    <n v="58237.461520000004"/>
    <m/>
    <x v="0"/>
    <m/>
    <m/>
    <m/>
    <m/>
    <m/>
    <m/>
    <m/>
    <m/>
    <m/>
    <m/>
    <m/>
  </r>
  <r>
    <x v="4"/>
    <d v="2024-09-25T00:00:00"/>
    <s v="FAC"/>
    <s v="C"/>
    <s v="0001"/>
    <s v="00000083"/>
    <x v="114"/>
    <n v="27264993755"/>
    <s v="A cuenta de servicio de fumigacion"/>
    <s v="ARS"/>
    <n v="1"/>
    <n v="10000"/>
    <n v="0"/>
    <n v="0"/>
    <n v="0"/>
    <n v="0"/>
    <n v="0"/>
    <n v="0"/>
    <n v="0"/>
    <n v="0"/>
    <n v="0"/>
    <n v="10000"/>
    <n v="10000"/>
    <m/>
    <x v="1"/>
    <m/>
    <m/>
    <n v="0"/>
    <m/>
    <m/>
    <m/>
    <m/>
    <m/>
    <n v="10000"/>
    <m/>
    <m/>
  </r>
  <r>
    <x v="4"/>
    <d v="2024-09-25T00:00:00"/>
    <s v="FAC"/>
    <s v="A"/>
    <s v="0172"/>
    <s v="00012788"/>
    <x v="20"/>
    <n v="30717972232"/>
    <s v="Mercadería para oficina"/>
    <s v="ARS"/>
    <n v="1"/>
    <n v="24929.919999999998"/>
    <n v="5235.2831999999999"/>
    <n v="0"/>
    <n v="0"/>
    <n v="0"/>
    <n v="0"/>
    <n v="0"/>
    <n v="897.47712000000001"/>
    <n v="0"/>
    <n v="5235.2831999999999"/>
    <n v="31062.680319999996"/>
    <n v="31062.680319999996"/>
    <m/>
    <x v="1"/>
    <m/>
    <m/>
    <n v="0"/>
    <m/>
    <m/>
    <m/>
    <m/>
    <m/>
    <n v="31062.680319999996"/>
    <m/>
    <m/>
  </r>
  <r>
    <x v="4"/>
    <d v="2024-09-25T00:00:00"/>
    <s v="FAC"/>
    <s v="M"/>
    <s v="0010"/>
    <s v="00000048"/>
    <x v="65"/>
    <n v="30717948900"/>
    <s v="Articulos medicos varios"/>
    <s v="ARS"/>
    <n v="1"/>
    <n v="186776.86"/>
    <n v="39223.140599999999"/>
    <n v="0"/>
    <n v="0"/>
    <n v="0"/>
    <n v="0"/>
    <n v="0"/>
    <n v="0"/>
    <n v="0"/>
    <n v="39223.140599999999"/>
    <n v="226000.00059999997"/>
    <n v="226000.00059999997"/>
    <n v="0"/>
    <x v="0"/>
    <m/>
    <m/>
    <m/>
    <m/>
    <m/>
    <m/>
    <m/>
    <m/>
    <m/>
    <m/>
    <m/>
  </r>
  <r>
    <x v="4"/>
    <d v="2024-09-25T00:00:00"/>
    <s v="FAC"/>
    <s v="C"/>
    <s v="0001"/>
    <s v="00000033"/>
    <x v="115"/>
    <n v="27401494850"/>
    <s v="Guardias médicas P2024-08"/>
    <s v="ARS"/>
    <n v="1"/>
    <n v="84000"/>
    <n v="0"/>
    <n v="0"/>
    <n v="0"/>
    <n v="0"/>
    <n v="0"/>
    <n v="0"/>
    <n v="0"/>
    <n v="0"/>
    <n v="0"/>
    <n v="84000"/>
    <n v="84000"/>
    <m/>
    <x v="1"/>
    <m/>
    <d v="2024-09-27T00:00:00"/>
    <n v="84000"/>
    <m/>
    <m/>
    <m/>
    <m/>
    <m/>
    <n v="0"/>
    <m/>
    <m/>
  </r>
  <r>
    <x v="4"/>
    <d v="2024-09-25T00:00:00"/>
    <s v="FAC"/>
    <s v="A"/>
    <s v="0003"/>
    <s v="00006330"/>
    <x v="22"/>
    <n v="33716385359"/>
    <s v="Insumos de Farmacia"/>
    <s v="ARS"/>
    <n v="1"/>
    <n v="61000"/>
    <n v="12810"/>
    <n v="0"/>
    <n v="0"/>
    <n v="0"/>
    <n v="203000"/>
    <n v="0"/>
    <n v="9504.0000000000018"/>
    <n v="0"/>
    <n v="12810"/>
    <n v="286314"/>
    <n v="286314"/>
    <n v="0"/>
    <x v="1"/>
    <m/>
    <d v="2024-10-18T00:00:00"/>
    <n v="8548484.0199999996"/>
    <m/>
    <m/>
    <m/>
    <m/>
    <m/>
    <m/>
    <m/>
    <s v="monto mal liquidado (VER PAGOS CON RET)"/>
  </r>
  <r>
    <x v="4"/>
    <d v="2024-09-25T00:00:00"/>
    <s v="FAC"/>
    <s v="C"/>
    <s v="0001"/>
    <s v="00000022"/>
    <x v="116"/>
    <n v="23375110199"/>
    <s v="Servicios Radiología P2024-08"/>
    <s v="ARS"/>
    <n v="1"/>
    <n v="240000"/>
    <n v="0"/>
    <n v="0"/>
    <n v="0"/>
    <n v="0"/>
    <n v="0"/>
    <n v="0"/>
    <n v="0"/>
    <n v="0"/>
    <n v="0"/>
    <n v="240000"/>
    <n v="240000"/>
    <n v="0"/>
    <x v="1"/>
    <m/>
    <d v="2024-09-26T00:00:00"/>
    <n v="240000"/>
    <m/>
    <m/>
    <m/>
    <m/>
    <m/>
    <n v="0"/>
    <m/>
    <m/>
  </r>
  <r>
    <x v="4"/>
    <d v="2024-09-25T00:00:00"/>
    <s v="FAC"/>
    <s v="C"/>
    <s v="0002"/>
    <s v="00000124"/>
    <x v="117"/>
    <n v="27288248570"/>
    <s v="Honorarios Kinesiologia y Fisioterapia P2024-08"/>
    <s v="ARS"/>
    <n v="1"/>
    <n v="22986.78"/>
    <n v="0"/>
    <n v="0"/>
    <n v="0"/>
    <n v="0"/>
    <n v="0"/>
    <n v="0"/>
    <n v="0"/>
    <n v="0"/>
    <n v="0"/>
    <n v="22986.78"/>
    <n v="22986.78"/>
    <m/>
    <x v="1"/>
    <m/>
    <d v="2024-09-27T00:00:00"/>
    <n v="22986.78"/>
    <m/>
    <m/>
    <m/>
    <m/>
    <m/>
    <n v="0"/>
    <m/>
    <m/>
  </r>
  <r>
    <x v="4"/>
    <d v="2024-09-25T00:00:00"/>
    <s v="FAC"/>
    <s v="C"/>
    <s v="0002"/>
    <s v="00000177"/>
    <x v="118"/>
    <n v="27261538046"/>
    <s v="Servicio Enfermeria Piso P2024-08"/>
    <s v="ARS"/>
    <n v="1"/>
    <n v="92000"/>
    <n v="0"/>
    <n v="0"/>
    <n v="0"/>
    <n v="0"/>
    <n v="0"/>
    <n v="0"/>
    <n v="0"/>
    <n v="0"/>
    <n v="0"/>
    <n v="92000"/>
    <n v="92000"/>
    <n v="0"/>
    <x v="1"/>
    <m/>
    <d v="2024-09-26T00:00:00"/>
    <n v="92000"/>
    <m/>
    <m/>
    <m/>
    <m/>
    <m/>
    <n v="0"/>
    <m/>
    <m/>
  </r>
  <r>
    <x v="4"/>
    <d v="2024-09-25T00:00:00"/>
    <s v="FAC"/>
    <s v="C"/>
    <s v="0002"/>
    <s v="00000121"/>
    <x v="119"/>
    <n v="27432189045"/>
    <s v="Honorarios Profesionales P2024-08 (Lopez Natalia Marcela)"/>
    <s v="ARS"/>
    <n v="1"/>
    <n v="250000"/>
    <n v="0"/>
    <n v="0"/>
    <n v="0"/>
    <n v="0"/>
    <n v="0"/>
    <n v="0"/>
    <n v="0"/>
    <n v="0"/>
    <n v="0"/>
    <n v="250000"/>
    <n v="250000"/>
    <n v="0"/>
    <x v="1"/>
    <m/>
    <d v="2024-09-26T00:00:00"/>
    <n v="250000"/>
    <m/>
    <m/>
    <m/>
    <m/>
    <m/>
    <n v="0"/>
    <m/>
    <m/>
  </r>
  <r>
    <x v="4"/>
    <d v="2024-09-25T00:00:00"/>
    <s v="FAC"/>
    <s v="A"/>
    <s v="0009"/>
    <s v="00008813"/>
    <x v="120"/>
    <n v="33681265339"/>
    <s v="Compra luces led"/>
    <s v="ARS"/>
    <n v="1"/>
    <n v="75186.64"/>
    <n v="0"/>
    <n v="7894.5971999999992"/>
    <n v="0"/>
    <n v="0"/>
    <n v="0"/>
    <n v="0"/>
    <n v="0"/>
    <n v="0"/>
    <n v="7894.5971999999992"/>
    <n v="83081.237200000003"/>
    <n v="83081.237200000003"/>
    <n v="0"/>
    <x v="1"/>
    <m/>
    <d v="2024-09-25T00:00:00"/>
    <n v="0"/>
    <m/>
    <m/>
    <m/>
    <m/>
    <m/>
    <n v="83081.237200000003"/>
    <m/>
    <m/>
  </r>
  <r>
    <x v="4"/>
    <d v="2024-09-25T00:00:00"/>
    <s v="FAC"/>
    <s v="A"/>
    <s v="0039"/>
    <s v="00001596"/>
    <x v="121"/>
    <n v="30714798037"/>
    <s v="Cesto de basura "/>
    <s v="ARS"/>
    <n v="1"/>
    <n v="18925.62"/>
    <n v="3974.3801999999996"/>
    <n v="0"/>
    <n v="0"/>
    <n v="0"/>
    <n v="0"/>
    <n v="0"/>
    <n v="0"/>
    <n v="0"/>
    <n v="3974.3801999999996"/>
    <n v="22900.000199999999"/>
    <n v="22900.000199999999"/>
    <n v="0"/>
    <x v="1"/>
    <m/>
    <d v="2024-09-25T00:00:00"/>
    <n v="0"/>
    <m/>
    <m/>
    <m/>
    <m/>
    <m/>
    <n v="22900.000199999999"/>
    <m/>
    <m/>
  </r>
  <r>
    <x v="4"/>
    <d v="2024-09-26T00:00:00"/>
    <s v="FAC"/>
    <s v="C"/>
    <s v="0002"/>
    <s v="00000420"/>
    <x v="122"/>
    <n v="20237659814"/>
    <s v="Instalacion jabalinos tomografo"/>
    <s v="ARS"/>
    <n v="1"/>
    <n v="70000"/>
    <n v="0"/>
    <n v="0"/>
    <n v="0"/>
    <n v="0"/>
    <n v="0"/>
    <n v="0"/>
    <n v="0"/>
    <n v="0"/>
    <n v="0"/>
    <n v="70000"/>
    <n v="70000"/>
    <m/>
    <x v="1"/>
    <m/>
    <m/>
    <n v="0"/>
    <m/>
    <m/>
    <m/>
    <m/>
    <m/>
    <n v="70000"/>
    <m/>
    <m/>
  </r>
  <r>
    <x v="4"/>
    <d v="2024-09-26T00:00:00"/>
    <s v="FAC"/>
    <s v="C"/>
    <s v="0002"/>
    <s v="00001816"/>
    <x v="27"/>
    <n v="20105424605"/>
    <s v="Fotocopias - Insumos de librería y oficina"/>
    <s v="ARS"/>
    <n v="1"/>
    <n v="10320"/>
    <n v="0"/>
    <n v="0"/>
    <n v="0"/>
    <n v="0"/>
    <n v="0"/>
    <n v="0"/>
    <n v="0"/>
    <n v="0"/>
    <n v="0"/>
    <n v="10320"/>
    <n v="10320"/>
    <m/>
    <x v="1"/>
    <m/>
    <m/>
    <n v="0"/>
    <m/>
    <m/>
    <m/>
    <m/>
    <m/>
    <n v="10320"/>
    <m/>
    <m/>
  </r>
  <r>
    <x v="4"/>
    <d v="2024-09-26T00:00:00"/>
    <s v="FAC"/>
    <s v="A"/>
    <s v="0005"/>
    <s v="00012742"/>
    <x v="123"/>
    <n v="30712149945"/>
    <s v="Insumos sanitarios"/>
    <s v="ARS"/>
    <n v="1"/>
    <n v="51722.37"/>
    <n v="10861.697700000001"/>
    <n v="0"/>
    <n v="0"/>
    <n v="0"/>
    <n v="0"/>
    <n v="0"/>
    <n v="0"/>
    <n v="0"/>
    <n v="10861.697700000001"/>
    <n v="62584.0677"/>
    <n v="62584.0677"/>
    <n v="0"/>
    <x v="1"/>
    <m/>
    <d v="2024-09-25T00:00:00"/>
    <n v="62584.0677"/>
    <m/>
    <m/>
    <m/>
    <m/>
    <m/>
    <n v="0"/>
    <m/>
    <m/>
  </r>
  <r>
    <x v="4"/>
    <d v="2024-09-26T00:00:00"/>
    <s v="FAC"/>
    <s v="C"/>
    <s v="0001"/>
    <s v="00000056"/>
    <x v="124"/>
    <n v="27422057906"/>
    <s v="Servicio Mucama de quirofano P2024-08"/>
    <s v="ARS"/>
    <n v="1"/>
    <n v="70000"/>
    <n v="0"/>
    <n v="0"/>
    <n v="0"/>
    <n v="0"/>
    <n v="0"/>
    <n v="0"/>
    <n v="0"/>
    <n v="0"/>
    <n v="0"/>
    <n v="70000"/>
    <n v="70000"/>
    <n v="0"/>
    <x v="1"/>
    <m/>
    <d v="2024-09-26T00:00:00"/>
    <n v="70000"/>
    <m/>
    <m/>
    <m/>
    <m/>
    <m/>
    <n v="0"/>
    <m/>
    <m/>
  </r>
  <r>
    <x v="4"/>
    <d v="2024-09-26T00:00:00"/>
    <s v="FAC"/>
    <s v="A"/>
    <s v="0034"/>
    <s v="00006839"/>
    <x v="87"/>
    <n v="33681246989"/>
    <s v="Impresora Brother HL 1212 W"/>
    <s v="ARS"/>
    <n v="1"/>
    <n v="202714.93"/>
    <n v="0"/>
    <n v="21285.067649999997"/>
    <n v="0"/>
    <n v="0"/>
    <n v="0"/>
    <n v="0"/>
    <n v="0"/>
    <n v="0"/>
    <n v="21285.067649999997"/>
    <n v="223999.99764999998"/>
    <n v="223999.99764999998"/>
    <n v="0"/>
    <x v="1"/>
    <m/>
    <d v="2024-09-26T00:00:00"/>
    <n v="0"/>
    <m/>
    <m/>
    <m/>
    <m/>
    <m/>
    <n v="223999.99764999998"/>
    <m/>
    <m/>
  </r>
  <r>
    <x v="4"/>
    <d v="2024-09-27T00:00:00"/>
    <s v="FAC"/>
    <s v="A"/>
    <s v="0002"/>
    <s v="00003276"/>
    <x v="43"/>
    <n v="30712291237"/>
    <s v="Equipo de cirugia Mayor esteril descartable"/>
    <s v="ARS"/>
    <n v="1"/>
    <n v="273405"/>
    <n v="57415.049999999996"/>
    <n v="0"/>
    <n v="0"/>
    <n v="0"/>
    <n v="0"/>
    <n v="0"/>
    <n v="0"/>
    <n v="0"/>
    <n v="57415.049999999996"/>
    <n v="330820.05"/>
    <n v="330820.05"/>
    <n v="5468.1"/>
    <x v="1"/>
    <m/>
    <d v="2024-10-18T00:00:00"/>
    <n v="325351.95"/>
    <m/>
    <m/>
    <m/>
    <m/>
    <m/>
    <n v="0"/>
    <m/>
    <m/>
  </r>
  <r>
    <x v="4"/>
    <d v="2024-09-27T00:00:00"/>
    <s v="FAC"/>
    <s v="C"/>
    <s v="0001"/>
    <s v="00000010"/>
    <x v="125"/>
    <n v="20406602681"/>
    <s v="Honorarios Profesionales - Derivaciones Pacientes Samec"/>
    <s v="ARS"/>
    <n v="1"/>
    <n v="350000"/>
    <n v="0"/>
    <n v="0"/>
    <n v="0"/>
    <n v="0"/>
    <n v="0"/>
    <n v="0"/>
    <n v="0"/>
    <n v="0"/>
    <n v="0"/>
    <n v="350000"/>
    <n v="350000"/>
    <n v="0"/>
    <x v="1"/>
    <m/>
    <d v="2024-09-27T00:00:00"/>
    <n v="350000"/>
    <m/>
    <m/>
    <m/>
    <m/>
    <m/>
    <n v="0"/>
    <m/>
    <m/>
  </r>
  <r>
    <x v="4"/>
    <d v="2024-09-27T00:00:00"/>
    <s v="FAC"/>
    <s v="C"/>
    <s v="0002"/>
    <s v="00001817"/>
    <x v="27"/>
    <n v="20105424605"/>
    <s v="Fotocopias - Insumos de librería y oficina"/>
    <s v="ARS"/>
    <n v="1"/>
    <n v="9900"/>
    <n v="0"/>
    <n v="0"/>
    <n v="0"/>
    <n v="0"/>
    <n v="0"/>
    <n v="0"/>
    <n v="0"/>
    <n v="0"/>
    <n v="0"/>
    <n v="9900"/>
    <n v="9900"/>
    <m/>
    <x v="1"/>
    <m/>
    <m/>
    <n v="0"/>
    <m/>
    <m/>
    <m/>
    <m/>
    <m/>
    <n v="9900"/>
    <m/>
    <m/>
  </r>
  <r>
    <x v="4"/>
    <d v="2024-09-27T00:00:00"/>
    <s v="FAC"/>
    <s v="A"/>
    <s v="0052"/>
    <s v="00155009"/>
    <x v="36"/>
    <n v="30716596881"/>
    <s v="Comida para el BAR"/>
    <s v="ARS"/>
    <n v="1"/>
    <n v="25454.55"/>
    <n v="5345.4555"/>
    <n v="0"/>
    <n v="0"/>
    <n v="0"/>
    <n v="0"/>
    <n v="0"/>
    <n v="0"/>
    <n v="0"/>
    <n v="5345.4555"/>
    <n v="30800.005499999999"/>
    <n v="30800.005499999999"/>
    <n v="0"/>
    <x v="1"/>
    <m/>
    <m/>
    <m/>
    <m/>
    <m/>
    <m/>
    <m/>
    <m/>
    <m/>
    <m/>
    <m/>
  </r>
  <r>
    <x v="4"/>
    <d v="2024-09-27T00:00:00"/>
    <s v="FAC"/>
    <s v="C"/>
    <s v="0001"/>
    <s v="00000047"/>
    <x v="108"/>
    <n v="27376021829"/>
    <s v="Servicio de instrumentación quirofano P2024-08 (Guari Tania)"/>
    <s v="ARS"/>
    <n v="1"/>
    <n v="89200"/>
    <n v="0"/>
    <n v="0"/>
    <n v="0"/>
    <n v="0"/>
    <n v="0"/>
    <n v="0"/>
    <n v="0"/>
    <n v="0"/>
    <n v="0"/>
    <n v="89200"/>
    <n v="89200"/>
    <n v="0"/>
    <x v="1"/>
    <m/>
    <d v="2024-09-27T00:00:00"/>
    <n v="89200"/>
    <m/>
    <m/>
    <m/>
    <m/>
    <m/>
    <n v="0"/>
    <m/>
    <m/>
  </r>
  <r>
    <x v="4"/>
    <d v="2024-09-27T00:00:00"/>
    <s v="FAC"/>
    <s v="A"/>
    <s v="0083"/>
    <s v="00001144"/>
    <x v="126"/>
    <n v="30711230862"/>
    <s v="Mercadería para oficina"/>
    <s v="ARS"/>
    <n v="1"/>
    <n v="9226.16"/>
    <n v="1937.4935999999998"/>
    <n v="0"/>
    <n v="0"/>
    <n v="0"/>
    <n v="0"/>
    <n v="0"/>
    <n v="332.14176000000003"/>
    <n v="0"/>
    <n v="1937.4935999999998"/>
    <n v="11495.79536"/>
    <n v="11495.79536"/>
    <n v="0"/>
    <x v="1"/>
    <m/>
    <d v="2024-09-27T00:00:00"/>
    <n v="0"/>
    <m/>
    <m/>
    <m/>
    <m/>
    <m/>
    <n v="11495.79536"/>
    <m/>
    <m/>
  </r>
  <r>
    <x v="4"/>
    <d v="2024-09-27T00:00:00"/>
    <s v="FAC"/>
    <s v="A"/>
    <s v="0020"/>
    <s v="00051738"/>
    <x v="127"/>
    <n v="20231672355"/>
    <s v="Insumos de oficina para impresora"/>
    <s v="ARS"/>
    <n v="1"/>
    <n v="54056.2"/>
    <n v="11351.802"/>
    <n v="0"/>
    <n v="0"/>
    <n v="0"/>
    <n v="0"/>
    <n v="0"/>
    <n v="0"/>
    <n v="0"/>
    <n v="11351.802"/>
    <n v="65408.001999999993"/>
    <n v="65408.001999999993"/>
    <n v="0"/>
    <x v="1"/>
    <m/>
    <d v="2024-09-27T00:00:00"/>
    <n v="0"/>
    <m/>
    <m/>
    <m/>
    <m/>
    <m/>
    <n v="65408.001999999993"/>
    <m/>
    <m/>
  </r>
  <r>
    <x v="4"/>
    <d v="2024-09-30T00:00:00"/>
    <s v="FAC"/>
    <s v="A"/>
    <s v="0004"/>
    <s v="00052852"/>
    <x v="1"/>
    <n v="30708764236"/>
    <s v="Alquiler Uso Tubo y Termo Medicinal P2024-09"/>
    <s v="ARS"/>
    <n v="1"/>
    <n v="279242.09999999998"/>
    <n v="58640.840999999993"/>
    <n v="0"/>
    <n v="0"/>
    <n v="0"/>
    <n v="0"/>
    <n v="0"/>
    <n v="0"/>
    <n v="0"/>
    <n v="58640.840999999993"/>
    <n v="337882.94099999999"/>
    <n v="337882.94099999999"/>
    <n v="16082.525999999998"/>
    <x v="1"/>
    <m/>
    <d v="2024-11-11T00:00:00"/>
    <n v="321800.41499999998"/>
    <m/>
    <m/>
    <m/>
    <m/>
    <m/>
    <n v="0"/>
    <m/>
    <s v="CH 0, 30, 60"/>
  </r>
  <r>
    <x v="4"/>
    <d v="2024-09-30T00:00:00"/>
    <s v="FAC"/>
    <s v="A"/>
    <s v="0004"/>
    <s v="00052896"/>
    <x v="1"/>
    <n v="30708764236"/>
    <s v="Suministro oxigeno P2024-09"/>
    <s v="ARS"/>
    <n v="1"/>
    <n v="430658.24"/>
    <n v="90438.2304"/>
    <n v="0"/>
    <n v="0"/>
    <n v="0"/>
    <n v="0"/>
    <n v="0"/>
    <n v="0"/>
    <n v="0"/>
    <n v="90438.2304"/>
    <n v="521096.47039999999"/>
    <n v="521096.47039999999"/>
    <n v="4133.1647999999996"/>
    <x v="1"/>
    <m/>
    <d v="2024-11-11T00:00:00"/>
    <n v="516963.30559999996"/>
    <m/>
    <m/>
    <m/>
    <m/>
    <m/>
    <n v="0"/>
    <m/>
    <s v="CH 0, 30, 60"/>
  </r>
  <r>
    <x v="4"/>
    <d v="2024-09-30T00:00:00"/>
    <s v="FAC"/>
    <s v="A"/>
    <s v="0006"/>
    <s v="00023626"/>
    <x v="17"/>
    <n v="30663625485"/>
    <s v="Servicio Recoleccion Residuos Patogenos P2024-09"/>
    <s v="ARS"/>
    <n v="1"/>
    <n v="1574771.6"/>
    <n v="330702.03600000002"/>
    <n v="0"/>
    <n v="0"/>
    <n v="0"/>
    <n v="0"/>
    <n v="0"/>
    <n v="0"/>
    <n v="0"/>
    <n v="330702.03600000002"/>
    <n v="1905473.6360000002"/>
    <n v="1905473.6360000002"/>
    <n v="30152.032000000003"/>
    <x v="1"/>
    <m/>
    <d v="2024-11-11T00:00:00"/>
    <n v="1875321.6040000003"/>
    <m/>
    <m/>
    <m/>
    <m/>
    <m/>
    <n v="0"/>
    <m/>
    <m/>
  </r>
  <r>
    <x v="4"/>
    <d v="2024-09-30T00:00:00"/>
    <s v="FAC"/>
    <s v="A"/>
    <s v="0001"/>
    <s v="00000028"/>
    <x v="128"/>
    <n v="27339701712"/>
    <s v="Honorarios Guardias Medicas P2024-08 (Dr. Diaz Martinez)"/>
    <s v="ARS"/>
    <n v="1"/>
    <n v="435600"/>
    <n v="0"/>
    <n v="0"/>
    <n v="0"/>
    <n v="0"/>
    <n v="0"/>
    <n v="0"/>
    <n v="0"/>
    <n v="0"/>
    <n v="0"/>
    <n v="435600"/>
    <n v="435600"/>
    <n v="0"/>
    <x v="1"/>
    <m/>
    <d v="2024-10-02T00:00:00"/>
    <n v="435600"/>
    <m/>
    <m/>
    <m/>
    <m/>
    <m/>
    <n v="0"/>
    <m/>
    <m/>
  </r>
  <r>
    <x v="4"/>
    <d v="2024-09-30T00:00:00"/>
    <s v="FAC"/>
    <s v="A"/>
    <s v="0004"/>
    <s v="00052897"/>
    <x v="1"/>
    <n v="30708764236"/>
    <s v="Suministro oxigeno P2024-09"/>
    <s v="ARS"/>
    <n v="1"/>
    <n v="861316.47"/>
    <n v="180876.45869999999"/>
    <n v="0"/>
    <n v="0"/>
    <n v="0"/>
    <n v="0"/>
    <n v="0"/>
    <n v="0"/>
    <n v="0"/>
    <n v="180876.45869999999"/>
    <n v="1042192.9286999999"/>
    <n v="1042192.9286999999"/>
    <n v="17226.329399999999"/>
    <x v="1"/>
    <m/>
    <d v="2024-11-11T00:00:00"/>
    <n v="1024966.5992999999"/>
    <m/>
    <m/>
    <m/>
    <m/>
    <m/>
    <n v="0"/>
    <m/>
    <s v="CH 0, 30, 60"/>
  </r>
  <r>
    <x v="4"/>
    <d v="2024-09-30T00:00:00"/>
    <s v="FAC"/>
    <s v="A"/>
    <s v="0004"/>
    <s v="00052898"/>
    <x v="1"/>
    <n v="30708764236"/>
    <s v="Suministro oxigeno P2024-09"/>
    <s v="ARS"/>
    <n v="1"/>
    <n v="430658.24"/>
    <n v="90438.2304"/>
    <n v="0"/>
    <n v="0"/>
    <n v="0"/>
    <n v="0"/>
    <n v="0"/>
    <n v="0"/>
    <n v="0"/>
    <n v="90438.2304"/>
    <n v="521096.47039999999"/>
    <n v="521096.47039999999"/>
    <n v="8613.1648000000005"/>
    <x v="1"/>
    <m/>
    <d v="2024-11-11T00:00:00"/>
    <n v="512483.30559999996"/>
    <m/>
    <m/>
    <m/>
    <m/>
    <m/>
    <n v="0"/>
    <m/>
    <s v="CH 0, 30, 60"/>
  </r>
  <r>
    <x v="4"/>
    <d v="2024-09-30T00:00:00"/>
    <s v="FAC"/>
    <s v="A"/>
    <s v="0004"/>
    <s v="00052899"/>
    <x v="1"/>
    <n v="30708764236"/>
    <s v="Suministro oxigeno P2024-09"/>
    <s v="ARS"/>
    <n v="1"/>
    <n v="1722632.95"/>
    <n v="361752.91949999996"/>
    <n v="0"/>
    <n v="0"/>
    <n v="0"/>
    <n v="0"/>
    <n v="0"/>
    <n v="0"/>
    <n v="0"/>
    <n v="361752.91949999996"/>
    <n v="2084385.8695"/>
    <n v="2084385.8695"/>
    <n v="34452.659"/>
    <x v="1"/>
    <m/>
    <d v="2024-11-11T00:00:00"/>
    <n v="2049933.2105"/>
    <m/>
    <m/>
    <m/>
    <m/>
    <m/>
    <n v="0"/>
    <m/>
    <s v="CH 0, 30, 60"/>
  </r>
  <r>
    <x v="4"/>
    <d v="2024-09-30T00:00:00"/>
    <s v="FAC"/>
    <s v="A"/>
    <s v="0004"/>
    <s v="00052901"/>
    <x v="1"/>
    <n v="30708764236"/>
    <s v="Suministro oxigeno P2024-09"/>
    <s v="ARS"/>
    <n v="1"/>
    <n v="430658.24"/>
    <n v="90438.2304"/>
    <n v="0"/>
    <n v="0"/>
    <n v="0"/>
    <n v="0"/>
    <n v="0"/>
    <n v="0"/>
    <n v="0"/>
    <n v="90438.2304"/>
    <n v="521096.47039999999"/>
    <n v="521096.47039999999"/>
    <n v="8613.1648000000005"/>
    <x v="1"/>
    <m/>
    <d v="2024-11-11T00:00:00"/>
    <n v="512483.30559999996"/>
    <m/>
    <m/>
    <m/>
    <m/>
    <m/>
    <n v="0"/>
    <m/>
    <s v="CH 0, 30, 60"/>
  </r>
  <r>
    <x v="4"/>
    <d v="2024-09-30T00:00:00"/>
    <s v="FAC"/>
    <s v="A"/>
    <s v="0004"/>
    <s v="00052902"/>
    <x v="1"/>
    <n v="30708764236"/>
    <s v="Suministro oxigeno P2024-09"/>
    <s v="ARS"/>
    <n v="1"/>
    <n v="1291974.72"/>
    <n v="271314.6912"/>
    <n v="0"/>
    <n v="0"/>
    <n v="0"/>
    <n v="0"/>
    <n v="0"/>
    <n v="0"/>
    <n v="0"/>
    <n v="271314.6912"/>
    <n v="1563289.4112"/>
    <n v="1563289.4112"/>
    <n v="25839.4944"/>
    <x v="1"/>
    <m/>
    <d v="2024-11-11T00:00:00"/>
    <n v="1537449.9168"/>
    <m/>
    <m/>
    <m/>
    <m/>
    <m/>
    <n v="0"/>
    <m/>
    <s v="CH 0, 30, 60"/>
  </r>
  <r>
    <x v="4"/>
    <d v="2024-09-30T00:00:00"/>
    <s v="N/C"/>
    <s v="A"/>
    <s v="0024"/>
    <s v="00068578"/>
    <x v="111"/>
    <n v="30604958640"/>
    <s v="Prestaciones gravadas"/>
    <s v="ARS"/>
    <n v="1"/>
    <n v="413449.81"/>
    <n v="0"/>
    <n v="0"/>
    <n v="0"/>
    <n v="0"/>
    <n v="0"/>
    <n v="0"/>
    <m/>
    <n v="0"/>
    <n v="0"/>
    <n v="413449.81"/>
    <n v="413449.81"/>
    <n v="0"/>
    <x v="2"/>
    <m/>
    <m/>
    <m/>
    <m/>
    <m/>
    <m/>
    <m/>
    <m/>
    <m/>
    <m/>
    <m/>
  </r>
  <r>
    <x v="4"/>
    <d v="2024-09-30T00:00:00"/>
    <s v="N/D"/>
    <s v="A"/>
    <s v="0024"/>
    <s v="00188337"/>
    <x v="111"/>
    <n v="30604958640"/>
    <s v="Prestaciones exentas"/>
    <s v="ARS"/>
    <n v="1"/>
    <n v="0"/>
    <n v="0"/>
    <n v="0"/>
    <n v="0"/>
    <n v="0"/>
    <n v="471962.94"/>
    <n v="0"/>
    <n v="0"/>
    <n v="0"/>
    <n v="0"/>
    <n v="471962.94"/>
    <n v="471962.94"/>
    <n v="0"/>
    <x v="2"/>
    <m/>
    <m/>
    <m/>
    <m/>
    <m/>
    <m/>
    <m/>
    <m/>
    <m/>
    <m/>
    <m/>
  </r>
  <r>
    <x v="4"/>
    <d v="2024-09-30T00:00:00"/>
    <s v="FAC"/>
    <s v="X"/>
    <s v="0001"/>
    <s v="20240930"/>
    <x v="64"/>
    <n v="30111111111"/>
    <s v="Remis - Taxi"/>
    <s v="ARS"/>
    <n v="1"/>
    <n v="17580"/>
    <n v="0"/>
    <n v="0"/>
    <n v="0"/>
    <n v="0"/>
    <n v="0"/>
    <n v="0"/>
    <n v="0"/>
    <n v="0"/>
    <n v="0"/>
    <n v="17580"/>
    <n v="17580"/>
    <n v="0"/>
    <x v="1"/>
    <m/>
    <d v="2024-09-30T00:00:00"/>
    <n v="0"/>
    <m/>
    <m/>
    <m/>
    <m/>
    <m/>
    <n v="17580"/>
    <m/>
    <m/>
  </r>
  <r>
    <x v="4"/>
    <d v="2024-09-30T00:00:00"/>
    <s v="A cuenta"/>
    <m/>
    <m/>
    <s v="20240930"/>
    <x v="51"/>
    <m/>
    <s v="Servicio de esterilización"/>
    <s v="ARS"/>
    <n v="1"/>
    <n v="141500"/>
    <n v="0"/>
    <n v="0"/>
    <n v="0"/>
    <n v="0"/>
    <n v="0"/>
    <n v="0"/>
    <n v="0"/>
    <n v="0"/>
    <n v="0"/>
    <n v="141500"/>
    <n v="141500"/>
    <n v="0"/>
    <x v="1"/>
    <m/>
    <d v="2024-09-30T00:00:00"/>
    <n v="0"/>
    <m/>
    <m/>
    <m/>
    <m/>
    <m/>
    <n v="141500"/>
    <m/>
    <m/>
  </r>
  <r>
    <x v="5"/>
    <d v="2024-10-01T00:00:00"/>
    <s v="FAC"/>
    <s v="A"/>
    <s v="0003"/>
    <s v="00002245"/>
    <x v="5"/>
    <n v="30714721301"/>
    <s v="Suministro mensual oxigeno P2024-09"/>
    <s v="ARS"/>
    <n v="1"/>
    <n v="1186499.1000000001"/>
    <n v="249164.81100000002"/>
    <n v="0"/>
    <n v="0"/>
    <n v="0"/>
    <n v="0"/>
    <n v="0"/>
    <n v="42713.967600000011"/>
    <n v="0"/>
    <n v="249164.81100000002"/>
    <n v="1478377.8786000002"/>
    <n v="1478377.8786000002"/>
    <m/>
    <x v="1"/>
    <m/>
    <d v="2024-12-09T00:00:00"/>
    <m/>
    <m/>
    <m/>
    <m/>
    <m/>
    <m/>
    <n v="0"/>
    <m/>
    <m/>
  </r>
  <r>
    <x v="5"/>
    <d v="2024-10-01T00:00:00"/>
    <s v="FAC"/>
    <s v="A"/>
    <s v="0024"/>
    <s v="00004446"/>
    <x v="129"/>
    <n v="30681330301"/>
    <s v="Insumos varios de electricidad para obra en construccion"/>
    <s v="ARS"/>
    <n v="1"/>
    <n v="53876.72"/>
    <n v="11314.111199999999"/>
    <n v="0"/>
    <n v="0"/>
    <n v="0"/>
    <n v="0"/>
    <n v="0"/>
    <n v="0"/>
    <n v="0"/>
    <n v="11314.111199999999"/>
    <n v="65190.831200000001"/>
    <n v="65190.831200000001"/>
    <n v="0"/>
    <x v="1"/>
    <m/>
    <d v="2024-10-08T00:00:00"/>
    <n v="65190.831200000001"/>
    <m/>
    <m/>
    <m/>
    <m/>
    <m/>
    <n v="0"/>
    <m/>
    <m/>
  </r>
  <r>
    <x v="5"/>
    <d v="2024-10-01T00:00:00"/>
    <s v="FAC"/>
    <s v="A"/>
    <s v="0002"/>
    <s v="00022806"/>
    <x v="3"/>
    <n v="30715721461"/>
    <s v="Suministro de agua P2024-10"/>
    <s v="ARS"/>
    <n v="1"/>
    <n v="51000"/>
    <n v="10710"/>
    <n v="0"/>
    <n v="0"/>
    <n v="0"/>
    <n v="0"/>
    <n v="0"/>
    <n v="0"/>
    <n v="0"/>
    <n v="10710"/>
    <n v="61710"/>
    <n v="61710"/>
    <n v="0"/>
    <x v="1"/>
    <m/>
    <d v="2024-10-05T00:00:00"/>
    <n v="61710"/>
    <m/>
    <m/>
    <m/>
    <m/>
    <m/>
    <n v="0"/>
    <m/>
    <m/>
  </r>
  <r>
    <x v="5"/>
    <d v="2024-10-01T00:00:00"/>
    <s v="FAC"/>
    <s v="C"/>
    <s v="0002"/>
    <s v="00000843"/>
    <x v="10"/>
    <n v="20222549788"/>
    <s v="Soporte Sistema Informatico P2024-09"/>
    <s v="ARS"/>
    <n v="1"/>
    <n v="251779"/>
    <n v="0"/>
    <n v="0"/>
    <n v="0"/>
    <n v="0"/>
    <n v="0"/>
    <n v="0"/>
    <n v="0"/>
    <n v="0"/>
    <n v="0"/>
    <n v="251779"/>
    <n v="251779"/>
    <n v="0"/>
    <x v="1"/>
    <m/>
    <d v="2024-10-03T00:00:00"/>
    <n v="251779"/>
    <m/>
    <m/>
    <m/>
    <m/>
    <m/>
    <n v="0"/>
    <m/>
    <m/>
  </r>
  <r>
    <x v="5"/>
    <d v="2024-10-01T00:00:00"/>
    <s v="FAC"/>
    <s v="A"/>
    <s v="0006"/>
    <s v="00000837"/>
    <x v="9"/>
    <n v="20233929035"/>
    <s v="Insumos de Lavandería y Limpieza"/>
    <s v="ARS"/>
    <n v="1"/>
    <n v="341815.6"/>
    <n v="71781.275999999998"/>
    <n v="0"/>
    <n v="0"/>
    <n v="0"/>
    <n v="0"/>
    <n v="0"/>
    <n v="0"/>
    <n v="0"/>
    <n v="71781.275999999998"/>
    <n v="413596.87599999999"/>
    <n v="413596.87599999999"/>
    <n v="6775.8786"/>
    <x v="0"/>
    <m/>
    <d v="2024-11-12T00:00:00"/>
    <n v="406820.99739999999"/>
    <m/>
    <m/>
    <m/>
    <m/>
    <m/>
    <m/>
    <m/>
    <m/>
  </r>
  <r>
    <x v="5"/>
    <d v="2024-10-01T00:00:00"/>
    <s v="FAC"/>
    <s v="C"/>
    <s v="0001"/>
    <s v="00000028"/>
    <x v="12"/>
    <n v="20283782280"/>
    <s v="Servicios de informatica  - Trabajos realizados de informatica"/>
    <s v="ARS"/>
    <n v="1"/>
    <n v="285000"/>
    <n v="0"/>
    <n v="0"/>
    <n v="0"/>
    <n v="0"/>
    <n v="0"/>
    <n v="0"/>
    <n v="0"/>
    <n v="0"/>
    <n v="0"/>
    <n v="285000"/>
    <n v="285000"/>
    <n v="0"/>
    <x v="1"/>
    <m/>
    <d v="2024-10-08T00:00:00"/>
    <n v="285000"/>
    <m/>
    <m/>
    <m/>
    <m/>
    <m/>
    <n v="0"/>
    <m/>
    <m/>
  </r>
  <r>
    <x v="5"/>
    <d v="2024-10-01T00:00:00"/>
    <s v="N/D"/>
    <s v="A"/>
    <s v="0004"/>
    <s v="00000748"/>
    <x v="37"/>
    <n v="30580639034"/>
    <s v="Diferencia de cambio"/>
    <s v="ARS"/>
    <n v="1"/>
    <n v="65379.77"/>
    <n v="13729.751699999999"/>
    <n v="0"/>
    <n v="0"/>
    <n v="0"/>
    <n v="0"/>
    <n v="0"/>
    <n v="0"/>
    <n v="0"/>
    <n v="13729.751699999999"/>
    <n v="79109.521699999998"/>
    <n v="79109.521699999998"/>
    <n v="0"/>
    <x v="1"/>
    <m/>
    <d v="2024-11-27T00:00:00"/>
    <m/>
    <m/>
    <m/>
    <m/>
    <m/>
    <m/>
    <m/>
    <m/>
    <m/>
  </r>
  <r>
    <x v="5"/>
    <d v="2024-10-01T00:00:00"/>
    <s v="FAC"/>
    <s v="A"/>
    <s v="0001"/>
    <s v="00000768"/>
    <x v="24"/>
    <n v="30716190311"/>
    <s v="Servicio Mantenimiento Sistema Freya P2024-10"/>
    <s v="ARS"/>
    <n v="1"/>
    <n v="1400000"/>
    <n v="294000"/>
    <n v="0"/>
    <n v="0"/>
    <n v="0"/>
    <n v="0"/>
    <n v="0"/>
    <n v="0"/>
    <n v="0"/>
    <n v="294000"/>
    <n v="1694000"/>
    <n v="1694000"/>
    <n v="0"/>
    <x v="1"/>
    <m/>
    <d v="2024-10-28T00:00:00"/>
    <n v="1694000"/>
    <m/>
    <m/>
    <m/>
    <m/>
    <m/>
    <n v="0"/>
    <m/>
    <m/>
  </r>
  <r>
    <x v="5"/>
    <d v="2024-10-01T00:00:00"/>
    <s v="FAC"/>
    <s v="A"/>
    <s v="0025"/>
    <s v="00001065"/>
    <x v="96"/>
    <n v="33715472649"/>
    <s v="Cucharas de plastico"/>
    <s v="ARS"/>
    <n v="1"/>
    <n v="6508.26"/>
    <n v="1366.7346"/>
    <n v="0"/>
    <n v="0"/>
    <n v="0"/>
    <n v="0"/>
    <n v="0"/>
    <n v="234.29736000000003"/>
    <n v="0"/>
    <n v="1366.7346"/>
    <n v="8109.2919600000005"/>
    <n v="8109.2919600000005"/>
    <n v="0"/>
    <x v="1"/>
    <m/>
    <d v="2024-10-01T00:00:00"/>
    <n v="0"/>
    <m/>
    <m/>
    <m/>
    <m/>
    <m/>
    <n v="8109.2919600000005"/>
    <m/>
    <m/>
  </r>
  <r>
    <x v="5"/>
    <d v="2024-10-01T00:00:00"/>
    <s v="FAC"/>
    <s v="A"/>
    <s v="0031"/>
    <s v="00000271"/>
    <x v="18"/>
    <n v="30716375184"/>
    <s v="Mercadería para oficina"/>
    <s v="ARS"/>
    <n v="1"/>
    <n v="8970.8700000000008"/>
    <n v="1883.8827000000001"/>
    <n v="0"/>
    <n v="0"/>
    <n v="0"/>
    <n v="0"/>
    <n v="0"/>
    <n v="0"/>
    <n v="0"/>
    <n v="1883.8827000000001"/>
    <n v="10854.752700000001"/>
    <n v="10854.752700000001"/>
    <n v="0"/>
    <x v="1"/>
    <m/>
    <d v="2024-10-01T00:00:00"/>
    <n v="0"/>
    <m/>
    <m/>
    <m/>
    <m/>
    <m/>
    <n v="10854.752700000001"/>
    <m/>
    <m/>
  </r>
  <r>
    <x v="5"/>
    <d v="2024-10-01T00:00:00"/>
    <s v="FAC"/>
    <s v="B"/>
    <s v="1463"/>
    <s v="00212518"/>
    <x v="130"/>
    <n v="30590360763"/>
    <s v="Mercadería para oficina"/>
    <s v="ARS"/>
    <n v="1"/>
    <n v="4000"/>
    <n v="0"/>
    <n v="0"/>
    <n v="0"/>
    <n v="0"/>
    <n v="0"/>
    <n v="0"/>
    <n v="0"/>
    <n v="0"/>
    <n v="0"/>
    <n v="4000"/>
    <n v="4000"/>
    <n v="0"/>
    <x v="1"/>
    <m/>
    <d v="2024-10-01T00:00:00"/>
    <n v="0"/>
    <m/>
    <m/>
    <m/>
    <m/>
    <m/>
    <n v="4000"/>
    <m/>
    <m/>
  </r>
  <r>
    <x v="5"/>
    <d v="2024-10-01T00:00:00"/>
    <s v="FAC"/>
    <s v="A"/>
    <s v="0004"/>
    <s v="00006523"/>
    <x v="131"/>
    <n v="20138454860"/>
    <s v="Mangueras"/>
    <s v="ARS"/>
    <n v="1"/>
    <n v="3966.94"/>
    <n v="833.05740000000003"/>
    <n v="0"/>
    <n v="0"/>
    <n v="0"/>
    <n v="0"/>
    <n v="0"/>
    <n v="0"/>
    <n v="0"/>
    <n v="833.05740000000003"/>
    <n v="4799.9974000000002"/>
    <n v="4799.9974000000002"/>
    <n v="0"/>
    <x v="1"/>
    <m/>
    <d v="2024-10-01T00:00:00"/>
    <n v="0"/>
    <m/>
    <m/>
    <m/>
    <m/>
    <m/>
    <n v="4799.9974000000002"/>
    <m/>
    <m/>
  </r>
  <r>
    <x v="5"/>
    <d v="2024-10-01T00:00:00"/>
    <s v="FAC"/>
    <s v="C"/>
    <s v="0003"/>
    <s v="00000153"/>
    <x v="86"/>
    <n v="20076367834"/>
    <s v="Insumos varios "/>
    <s v="ARS"/>
    <n v="1"/>
    <n v="52400"/>
    <n v="0"/>
    <n v="0"/>
    <n v="0"/>
    <n v="0"/>
    <n v="0"/>
    <n v="0"/>
    <n v="0"/>
    <n v="0"/>
    <n v="0"/>
    <n v="52400"/>
    <n v="52400"/>
    <n v="0"/>
    <x v="1"/>
    <m/>
    <d v="2024-10-01T00:00:00"/>
    <n v="0"/>
    <m/>
    <m/>
    <m/>
    <m/>
    <m/>
    <n v="52400"/>
    <m/>
    <m/>
  </r>
  <r>
    <x v="5"/>
    <d v="2024-10-01T00:00:00"/>
    <s v="FAC"/>
    <s v="A"/>
    <s v="0068"/>
    <s v="00119410"/>
    <x v="42"/>
    <n v="30583516790"/>
    <s v="Insumos de Librería"/>
    <s v="ARS"/>
    <n v="1"/>
    <n v="3430.85"/>
    <n v="720.47849999999994"/>
    <n v="0"/>
    <n v="0"/>
    <n v="0"/>
    <n v="0"/>
    <n v="0"/>
    <n v="0"/>
    <n v="0"/>
    <n v="720.47849999999994"/>
    <n v="4151.3284999999996"/>
    <n v="4151.3284999999996"/>
    <n v="0"/>
    <x v="1"/>
    <m/>
    <d v="2024-10-01T00:00:00"/>
    <n v="0"/>
    <m/>
    <m/>
    <m/>
    <m/>
    <m/>
    <n v="4151.3284999999996"/>
    <m/>
    <m/>
  </r>
  <r>
    <x v="5"/>
    <d v="2024-10-01T00:00:00"/>
    <s v="REC"/>
    <s v="X"/>
    <s v="0001"/>
    <s v="20241001"/>
    <x v="64"/>
    <n v="30111111111"/>
    <s v="Cadete"/>
    <s v="ARS"/>
    <n v="1"/>
    <n v="20000"/>
    <n v="0"/>
    <n v="0"/>
    <n v="0"/>
    <n v="0"/>
    <n v="0"/>
    <n v="0"/>
    <n v="0"/>
    <n v="0"/>
    <n v="0"/>
    <n v="20000"/>
    <n v="20000"/>
    <n v="0"/>
    <x v="1"/>
    <m/>
    <d v="2024-10-01T00:00:00"/>
    <n v="0"/>
    <m/>
    <m/>
    <m/>
    <m/>
    <m/>
    <n v="20000"/>
    <m/>
    <m/>
  </r>
  <r>
    <x v="5"/>
    <d v="2024-10-01T00:00:00"/>
    <s v="A cuenta"/>
    <m/>
    <m/>
    <m/>
    <x v="4"/>
    <m/>
    <s v="Honorarios Estudio Contable Septiembre 2024"/>
    <s v="ARS"/>
    <n v="1"/>
    <n v="800000"/>
    <n v="0"/>
    <n v="0"/>
    <n v="0"/>
    <n v="0"/>
    <n v="0"/>
    <n v="0"/>
    <n v="0"/>
    <n v="0"/>
    <n v="0"/>
    <n v="800000"/>
    <n v="800000"/>
    <n v="0"/>
    <x v="1"/>
    <m/>
    <m/>
    <m/>
    <m/>
    <m/>
    <m/>
    <m/>
    <m/>
    <m/>
    <m/>
    <m/>
  </r>
  <r>
    <x v="5"/>
    <d v="2024-10-31T00:00:00"/>
    <s v="N/D"/>
    <s v="A"/>
    <s v="0004"/>
    <s v="00000753"/>
    <x v="37"/>
    <n v="30580639034"/>
    <s v="Diferencia de cambio"/>
    <s v="ARS"/>
    <n v="1"/>
    <n v="97252.4"/>
    <n v="20423.003999999997"/>
    <n v="0"/>
    <n v="0"/>
    <n v="0"/>
    <n v="0"/>
    <n v="0"/>
    <n v="0"/>
    <n v="0"/>
    <n v="20423.003999999997"/>
    <n v="117675.40399999999"/>
    <n v="117675.40399999999"/>
    <n v="0"/>
    <x v="1"/>
    <m/>
    <d v="2024-11-27T00:00:00"/>
    <n v="238280.06069999997"/>
    <m/>
    <m/>
    <m/>
    <m/>
    <m/>
    <n v="0"/>
    <m/>
    <m/>
  </r>
  <r>
    <x v="5"/>
    <d v="2024-10-02T00:00:00"/>
    <s v="FAC"/>
    <s v="A"/>
    <s v="0004"/>
    <s v="00000687"/>
    <x v="28"/>
    <n v="20138455654"/>
    <s v="Toner Alternativo"/>
    <s v="ARS"/>
    <n v="1"/>
    <n v="5537.19"/>
    <n v="1162.8099"/>
    <n v="0"/>
    <n v="0"/>
    <n v="0"/>
    <n v="0"/>
    <n v="0"/>
    <n v="0"/>
    <n v="0"/>
    <n v="1162.8099"/>
    <n v="6699.9998999999998"/>
    <n v="6699.9998999999998"/>
    <n v="0"/>
    <x v="1"/>
    <m/>
    <d v="2024-10-02T00:00:00"/>
    <n v="0"/>
    <m/>
    <m/>
    <m/>
    <m/>
    <m/>
    <n v="6699.9998999999998"/>
    <m/>
    <m/>
  </r>
  <r>
    <x v="5"/>
    <d v="2024-10-02T00:00:00"/>
    <s v="FAC"/>
    <s v="C"/>
    <s v="0002"/>
    <s v="00001818"/>
    <x v="27"/>
    <n v="20105424605"/>
    <s v="Fotocopias - Insumos de librería y oficina"/>
    <s v="ARS"/>
    <n v="1"/>
    <n v="15420"/>
    <n v="0"/>
    <n v="0"/>
    <n v="0"/>
    <n v="0"/>
    <n v="0"/>
    <n v="0"/>
    <n v="0"/>
    <n v="0"/>
    <n v="0"/>
    <n v="15420"/>
    <n v="15420"/>
    <n v="0"/>
    <x v="1"/>
    <m/>
    <d v="2024-10-02T00:00:00"/>
    <n v="0"/>
    <m/>
    <m/>
    <m/>
    <m/>
    <m/>
    <n v="15420"/>
    <m/>
    <m/>
  </r>
  <r>
    <x v="5"/>
    <d v="2024-10-02T00:00:00"/>
    <s v="FAC"/>
    <s v="A"/>
    <s v="0004"/>
    <s v="00003004"/>
    <x v="7"/>
    <n v="20126068450"/>
    <s v="Alquiler digitalizador Septiembre 2024"/>
    <s v="USD"/>
    <n v="991"/>
    <n v="166.67"/>
    <n v="35.000699999999995"/>
    <n v="0"/>
    <n v="0"/>
    <n v="0"/>
    <n v="0"/>
    <n v="0"/>
    <n v="6.0001199999999999"/>
    <n v="4.1667499999999995"/>
    <n v="35.000699999999995"/>
    <n v="211.83757"/>
    <n v="211.83757"/>
    <m/>
    <x v="0"/>
    <m/>
    <m/>
    <m/>
    <m/>
    <m/>
    <m/>
    <m/>
    <m/>
    <m/>
    <m/>
    <m/>
  </r>
  <r>
    <x v="5"/>
    <d v="2024-10-03T00:00:00"/>
    <s v="FAC"/>
    <s v="C"/>
    <s v="0002"/>
    <s v="00000285"/>
    <x v="132"/>
    <n v="27332358435"/>
    <s v="Honorarios Dirección Obra P2024-09"/>
    <s v="ARS"/>
    <n v="1"/>
    <n v="400000"/>
    <n v="0"/>
    <n v="0"/>
    <n v="0"/>
    <n v="0"/>
    <n v="0"/>
    <n v="0"/>
    <n v="0"/>
    <n v="0"/>
    <n v="0"/>
    <n v="400000"/>
    <n v="400000"/>
    <n v="0"/>
    <x v="1"/>
    <m/>
    <d v="2024-10-05T00:00:00"/>
    <n v="400000"/>
    <m/>
    <m/>
    <m/>
    <m/>
    <m/>
    <n v="0"/>
    <m/>
    <m/>
  </r>
  <r>
    <x v="5"/>
    <d v="2024-10-03T00:00:00"/>
    <s v="FAC"/>
    <s v="A"/>
    <s v="0004"/>
    <s v="00005852"/>
    <x v="15"/>
    <n v="30716688735"/>
    <s v="Insumos de Farmacia"/>
    <s v="ARS"/>
    <n v="1"/>
    <n v="115980"/>
    <n v="0"/>
    <n v="0"/>
    <n v="0"/>
    <n v="0"/>
    <n v="0"/>
    <n v="0"/>
    <n v="0"/>
    <n v="0"/>
    <n v="0"/>
    <n v="115980"/>
    <n v="115980"/>
    <n v="0"/>
    <x v="1"/>
    <m/>
    <d v="2024-11-08T00:00:00"/>
    <n v="115980"/>
    <m/>
    <m/>
    <m/>
    <m/>
    <m/>
    <n v="0"/>
    <m/>
    <m/>
  </r>
  <r>
    <x v="5"/>
    <d v="2024-10-03T00:00:00"/>
    <s v="FAC"/>
    <s v="A"/>
    <s v="0005"/>
    <s v="00012783"/>
    <x v="123"/>
    <n v="30712149945"/>
    <s v="Insumos sanitarios"/>
    <s v="ARS"/>
    <n v="1"/>
    <n v="29374.79"/>
    <n v="6168.7058999999999"/>
    <n v="0"/>
    <n v="0"/>
    <n v="0"/>
    <n v="0"/>
    <n v="0"/>
    <n v="0"/>
    <n v="0"/>
    <n v="6168.7058999999999"/>
    <n v="35543.495900000002"/>
    <n v="35543.495900000002"/>
    <n v="0"/>
    <x v="1"/>
    <m/>
    <d v="2024-10-02T00:00:00"/>
    <n v="35543.495900000002"/>
    <m/>
    <m/>
    <m/>
    <m/>
    <m/>
    <n v="0"/>
    <m/>
    <m/>
  </r>
  <r>
    <x v="5"/>
    <d v="2024-10-03T00:00:00"/>
    <s v="FAC"/>
    <s v="A"/>
    <s v="0172"/>
    <s v="00012964"/>
    <x v="20"/>
    <n v="30673770483"/>
    <s v="Mercadería para oficina"/>
    <s v="ARS"/>
    <n v="1"/>
    <n v="38797.360000000001"/>
    <n v="8147.4456"/>
    <n v="0"/>
    <n v="0"/>
    <n v="0"/>
    <n v="0"/>
    <n v="0"/>
    <n v="1396.7049600000003"/>
    <n v="0"/>
    <n v="8147.4456"/>
    <n v="48341.510560000002"/>
    <n v="48341.510560000002"/>
    <n v="0"/>
    <x v="1"/>
    <m/>
    <d v="2024-10-03T00:00:00"/>
    <n v="0"/>
    <m/>
    <m/>
    <m/>
    <m/>
    <m/>
    <n v="48341.510560000002"/>
    <m/>
    <m/>
  </r>
  <r>
    <x v="5"/>
    <d v="2024-10-03T00:00:00"/>
    <s v="FAC"/>
    <s v="A"/>
    <s v="0022"/>
    <s v="00000519"/>
    <x v="18"/>
    <n v="30716375184"/>
    <s v="Mercadería para oficina"/>
    <s v="ARS"/>
    <n v="1"/>
    <n v="18512.32"/>
    <n v="3887.5871999999999"/>
    <n v="0"/>
    <n v="0"/>
    <n v="0"/>
    <n v="0"/>
    <n v="0"/>
    <n v="0"/>
    <n v="0"/>
    <n v="3887.5871999999999"/>
    <n v="22399.907200000001"/>
    <n v="22399.907200000001"/>
    <n v="0"/>
    <x v="1"/>
    <m/>
    <d v="2024-10-03T00:00:00"/>
    <n v="0"/>
    <m/>
    <m/>
    <m/>
    <m/>
    <m/>
    <n v="22399.907200000001"/>
    <m/>
    <m/>
  </r>
  <r>
    <x v="5"/>
    <d v="2024-10-03T00:00:00"/>
    <s v="FAC"/>
    <s v="C"/>
    <s v="0002"/>
    <s v="00001822"/>
    <x v="27"/>
    <n v="20105424605"/>
    <s v="Fotocopias - Insumos de librería y oficina"/>
    <s v="ARS"/>
    <n v="1"/>
    <n v="10650"/>
    <n v="0"/>
    <n v="0"/>
    <n v="0"/>
    <n v="0"/>
    <n v="0"/>
    <n v="0"/>
    <n v="0"/>
    <n v="0"/>
    <n v="0"/>
    <n v="10650"/>
    <n v="10650"/>
    <n v="0"/>
    <x v="1"/>
    <m/>
    <d v="2024-10-03T00:00:00"/>
    <n v="0"/>
    <m/>
    <m/>
    <m/>
    <m/>
    <m/>
    <n v="10650"/>
    <m/>
    <m/>
  </r>
  <r>
    <x v="5"/>
    <d v="2024-10-03T00:00:00"/>
    <s v="FAC"/>
    <s v="A"/>
    <s v="0003"/>
    <s v="00006383"/>
    <x v="22"/>
    <n v="33716385359"/>
    <s v="Insumos de Farmacia"/>
    <s v="ARS"/>
    <n v="1"/>
    <n v="537250"/>
    <n v="112822.5"/>
    <n v="0"/>
    <n v="0"/>
    <n v="0"/>
    <n v="834275"/>
    <n v="0"/>
    <n v="49374.900000000009"/>
    <n v="0"/>
    <n v="112822.5"/>
    <n v="1533722.4"/>
    <n v="1533722.4"/>
    <m/>
    <x v="1"/>
    <m/>
    <d v="2024-11-14T00:00:00"/>
    <m/>
    <m/>
    <m/>
    <m/>
    <m/>
    <m/>
    <m/>
    <m/>
    <s v="CH 30 y 60"/>
  </r>
  <r>
    <x v="5"/>
    <d v="2024-10-03T00:00:00"/>
    <s v="FAC"/>
    <s v="A"/>
    <s v="0101"/>
    <s v="01464696"/>
    <x v="29"/>
    <n v="30690633635"/>
    <s v="Suministro de luz mensual P2024-09 (Factura a nombre de CHAHLE)"/>
    <s v="ARS"/>
    <n v="1"/>
    <n v="1858449.7"/>
    <n v="0"/>
    <n v="0"/>
    <n v="492173.42"/>
    <n v="0"/>
    <n v="0"/>
    <n v="0"/>
    <n v="0"/>
    <n v="188657.65999999997"/>
    <n v="492173.42"/>
    <n v="2539280.7800000003"/>
    <n v="2539280.7800000003"/>
    <n v="0"/>
    <x v="1"/>
    <m/>
    <d v="2024-10-14T00:00:00"/>
    <n v="2539280.7800000003"/>
    <m/>
    <m/>
    <m/>
    <m/>
    <m/>
    <n v="0"/>
    <m/>
    <m/>
  </r>
  <r>
    <x v="5"/>
    <d v="2024-10-04T00:00:00"/>
    <s v="FAC"/>
    <s v="C"/>
    <s v="0002"/>
    <s v="00001824"/>
    <x v="27"/>
    <n v="20105424605"/>
    <s v="Fotocopias - Insumos de librería y oficina"/>
    <s v="ARS"/>
    <n v="1"/>
    <n v="6570"/>
    <n v="0"/>
    <n v="0"/>
    <n v="0"/>
    <n v="0"/>
    <n v="0"/>
    <n v="0"/>
    <n v="0"/>
    <n v="0"/>
    <n v="0"/>
    <n v="6570"/>
    <n v="6570"/>
    <n v="0"/>
    <x v="1"/>
    <m/>
    <d v="2024-10-04T00:00:00"/>
    <n v="0"/>
    <m/>
    <m/>
    <m/>
    <m/>
    <m/>
    <n v="6570"/>
    <m/>
    <m/>
  </r>
  <r>
    <x v="5"/>
    <d v="2024-10-04T00:00:00"/>
    <s v="FAC"/>
    <s v="A"/>
    <s v="0003"/>
    <s v="00006389"/>
    <x v="22"/>
    <n v="33716385359"/>
    <s v="Insumos de Farmacia"/>
    <s v="ARS"/>
    <n v="1"/>
    <n v="40000"/>
    <n v="8400"/>
    <n v="0"/>
    <n v="0"/>
    <n v="0"/>
    <n v="0"/>
    <n v="0"/>
    <n v="1440.0000000000002"/>
    <n v="0"/>
    <n v="8400"/>
    <n v="49840"/>
    <n v="49840"/>
    <m/>
    <x v="1"/>
    <m/>
    <d v="2024-11-14T00:00:00"/>
    <m/>
    <m/>
    <m/>
    <m/>
    <m/>
    <m/>
    <m/>
    <m/>
    <s v="CH 30 y 60"/>
  </r>
  <r>
    <x v="5"/>
    <d v="2024-10-04T00:00:00"/>
    <s v="FAC"/>
    <s v="C"/>
    <s v="0003"/>
    <s v="00000002"/>
    <x v="68"/>
    <n v="27414867486"/>
    <s v="Honorarios Medicos UTI P2024-09"/>
    <s v="ARS"/>
    <n v="1"/>
    <n v="202800"/>
    <n v="0"/>
    <n v="0"/>
    <n v="0"/>
    <n v="0"/>
    <n v="0"/>
    <n v="0"/>
    <n v="0"/>
    <n v="0"/>
    <n v="0"/>
    <n v="202800"/>
    <n v="202800"/>
    <n v="0"/>
    <x v="1"/>
    <m/>
    <d v="2024-10-16T00:00:00"/>
    <n v="202800"/>
    <m/>
    <m/>
    <m/>
    <m/>
    <m/>
    <n v="0"/>
    <m/>
    <m/>
  </r>
  <r>
    <x v="5"/>
    <d v="2024-10-04T00:00:00"/>
    <s v="REC"/>
    <s v="X"/>
    <s v="0001"/>
    <s v="00000084"/>
    <x v="64"/>
    <n v="30111111111"/>
    <s v="Cadete"/>
    <s v="ARS"/>
    <n v="1"/>
    <n v="16000"/>
    <n v="0"/>
    <n v="0"/>
    <n v="0"/>
    <n v="0"/>
    <n v="0"/>
    <n v="0"/>
    <n v="0"/>
    <n v="0"/>
    <n v="0"/>
    <n v="16000"/>
    <n v="16000"/>
    <n v="0"/>
    <x v="1"/>
    <m/>
    <d v="2024-10-04T00:00:00"/>
    <n v="0"/>
    <m/>
    <m/>
    <m/>
    <m/>
    <m/>
    <n v="16000"/>
    <m/>
    <m/>
  </r>
  <r>
    <x v="5"/>
    <d v="2024-10-07T00:00:00"/>
    <s v="REC"/>
    <s v="X"/>
    <s v="0001"/>
    <s v="00000080"/>
    <x v="64"/>
    <n v="30111111111"/>
    <s v="Cadete"/>
    <s v="ARS"/>
    <n v="1"/>
    <n v="2700"/>
    <n v="0"/>
    <n v="0"/>
    <n v="0"/>
    <n v="0"/>
    <n v="0"/>
    <n v="0"/>
    <n v="0"/>
    <n v="0"/>
    <n v="0"/>
    <n v="2700"/>
    <n v="2700"/>
    <n v="0"/>
    <x v="1"/>
    <m/>
    <d v="2024-10-07T00:00:00"/>
    <n v="0"/>
    <m/>
    <m/>
    <m/>
    <m/>
    <m/>
    <n v="2700"/>
    <m/>
    <m/>
  </r>
  <r>
    <x v="5"/>
    <d v="2024-10-07T00:00:00"/>
    <s v="REC"/>
    <s v="C"/>
    <s v="0002"/>
    <s v="00000246"/>
    <x v="133"/>
    <n v="20340077904"/>
    <s v="Honorarios prestacion medica ORL"/>
    <s v="ARS"/>
    <n v="1"/>
    <n v="441377"/>
    <n v="0"/>
    <n v="0"/>
    <n v="0"/>
    <n v="0"/>
    <n v="0"/>
    <n v="0"/>
    <n v="0"/>
    <n v="0"/>
    <n v="0"/>
    <n v="441377"/>
    <n v="441377"/>
    <n v="0"/>
    <x v="1"/>
    <m/>
    <d v="2024-10-08T00:00:00"/>
    <n v="441377"/>
    <m/>
    <m/>
    <m/>
    <m/>
    <m/>
    <n v="0"/>
    <m/>
    <m/>
  </r>
  <r>
    <x v="5"/>
    <d v="2024-10-07T00:00:00"/>
    <s v="FAC"/>
    <s v="A"/>
    <s v="0003"/>
    <s v="00006983"/>
    <x v="38"/>
    <n v="30709462306"/>
    <s v="Lavanderia P2024-09"/>
    <s v="ARS"/>
    <n v="1"/>
    <n v="554203.15"/>
    <n v="116382.6615"/>
    <n v="0"/>
    <n v="0"/>
    <n v="0"/>
    <n v="0"/>
    <n v="0"/>
    <n v="0"/>
    <m/>
    <n v="116382.6615"/>
    <n v="670585.81150000007"/>
    <n v="670585.81150000007"/>
    <n v="6604.06"/>
    <x v="1"/>
    <m/>
    <d v="2024-11-28T00:00:00"/>
    <n v="663981.75150000001"/>
    <m/>
    <m/>
    <m/>
    <m/>
    <m/>
    <n v="0"/>
    <m/>
    <m/>
  </r>
  <r>
    <x v="5"/>
    <d v="2024-10-07T00:00:00"/>
    <s v="FAC"/>
    <s v="A"/>
    <s v="0029"/>
    <s v="00001737"/>
    <x v="96"/>
    <n v="33715472649"/>
    <s v="Bolsas de consorcio"/>
    <s v="ARS"/>
    <n v="1"/>
    <n v="16528.93"/>
    <n v="3471.0753"/>
    <n v="0"/>
    <n v="0"/>
    <n v="0"/>
    <n v="0"/>
    <n v="0"/>
    <n v="595.04148000000009"/>
    <n v="0"/>
    <n v="3471.0753"/>
    <n v="20595.046780000001"/>
    <n v="20595.046780000001"/>
    <n v="0"/>
    <x v="1"/>
    <m/>
    <d v="2024-10-07T00:00:00"/>
    <n v="0"/>
    <m/>
    <m/>
    <m/>
    <m/>
    <m/>
    <n v="20595.046780000001"/>
    <m/>
    <m/>
  </r>
  <r>
    <x v="5"/>
    <d v="2024-10-07T00:00:00"/>
    <s v="REC"/>
    <s v="X"/>
    <s v="0001"/>
    <s v="00000083"/>
    <x v="64"/>
    <n v="30111111111"/>
    <s v="Cadete"/>
    <s v="ARS"/>
    <n v="1"/>
    <n v="13000"/>
    <n v="0"/>
    <n v="0"/>
    <n v="0"/>
    <n v="0"/>
    <n v="0"/>
    <n v="0"/>
    <n v="0"/>
    <n v="0"/>
    <n v="0"/>
    <n v="13000"/>
    <n v="13000"/>
    <n v="0"/>
    <x v="1"/>
    <m/>
    <d v="2024-10-07T00:00:00"/>
    <n v="0"/>
    <m/>
    <m/>
    <m/>
    <m/>
    <m/>
    <n v="13000"/>
    <m/>
    <m/>
  </r>
  <r>
    <x v="5"/>
    <d v="2024-10-07T00:00:00"/>
    <s v="A cuenta"/>
    <m/>
    <m/>
    <m/>
    <x v="64"/>
    <n v="30111111111"/>
    <s v="Material para quirofano"/>
    <s v="ARS"/>
    <n v="1"/>
    <n v="8000"/>
    <n v="0"/>
    <n v="0"/>
    <n v="0"/>
    <n v="0"/>
    <n v="0"/>
    <n v="0"/>
    <n v="0"/>
    <n v="0"/>
    <n v="0"/>
    <n v="8000"/>
    <n v="8000"/>
    <n v="0"/>
    <x v="1"/>
    <m/>
    <d v="2024-10-07T00:00:00"/>
    <n v="0"/>
    <m/>
    <m/>
    <m/>
    <m/>
    <m/>
    <n v="8000"/>
    <m/>
    <m/>
  </r>
  <r>
    <x v="5"/>
    <d v="2024-10-07T00:00:00"/>
    <s v="FAC"/>
    <s v="C"/>
    <s v="0002"/>
    <s v="00001825"/>
    <x v="27"/>
    <n v="20105424605"/>
    <s v="Fotocopias - Insumos de librería y oficina"/>
    <s v="ARS"/>
    <n v="1"/>
    <n v="17130"/>
    <n v="0"/>
    <n v="0"/>
    <n v="0"/>
    <n v="0"/>
    <n v="0"/>
    <n v="0"/>
    <n v="0"/>
    <n v="0"/>
    <n v="0"/>
    <n v="17130"/>
    <n v="17130"/>
    <n v="0"/>
    <x v="1"/>
    <m/>
    <d v="2024-10-07T00:00:00"/>
    <n v="0"/>
    <m/>
    <m/>
    <m/>
    <m/>
    <m/>
    <n v="17130"/>
    <m/>
    <m/>
  </r>
  <r>
    <x v="5"/>
    <d v="2024-10-07T00:00:00"/>
    <s v="FAC"/>
    <s v="A"/>
    <s v="0004"/>
    <s v="00000166"/>
    <x v="26"/>
    <n v="30717926966"/>
    <s v="Descartables - toallas"/>
    <s v="ARS"/>
    <n v="1"/>
    <n v="218181.9"/>
    <n v="45818.199000000001"/>
    <n v="0"/>
    <n v="0"/>
    <n v="0"/>
    <n v="0"/>
    <n v="0"/>
    <n v="0"/>
    <n v="0"/>
    <n v="45818.199000000001"/>
    <n v="264000.09899999999"/>
    <n v="264000.09899999999"/>
    <n v="0"/>
    <x v="1"/>
    <m/>
    <d v="2024-11-13T00:00:00"/>
    <n v="264000.09899999999"/>
    <m/>
    <m/>
    <m/>
    <m/>
    <m/>
    <n v="0"/>
    <m/>
    <m/>
  </r>
  <r>
    <x v="5"/>
    <d v="2024-10-07T00:00:00"/>
    <s v="FAC"/>
    <s v="C"/>
    <s v="0003"/>
    <s v="00000256"/>
    <x v="0"/>
    <n v="20139171927"/>
    <s v="Mantenimiento de ascensores P2024-09"/>
    <s v="ARS"/>
    <n v="1"/>
    <n v="12000"/>
    <n v="0"/>
    <n v="0"/>
    <n v="0"/>
    <n v="0"/>
    <n v="0"/>
    <n v="0"/>
    <n v="0"/>
    <n v="0"/>
    <n v="0"/>
    <n v="12000"/>
    <n v="12000"/>
    <m/>
    <x v="0"/>
    <m/>
    <m/>
    <m/>
    <m/>
    <m/>
    <m/>
    <m/>
    <m/>
    <m/>
    <m/>
    <m/>
  </r>
  <r>
    <x v="5"/>
    <d v="2024-10-08T00:00:00"/>
    <s v="FAC"/>
    <s v="A"/>
    <s v="0003"/>
    <s v="00006405"/>
    <x v="22"/>
    <n v="33716385359"/>
    <s v="Insumos de Farmacia"/>
    <s v="ARS"/>
    <n v="1"/>
    <n v="1461050"/>
    <n v="306820.5"/>
    <n v="0"/>
    <n v="0"/>
    <n v="0"/>
    <n v="680100"/>
    <n v="0"/>
    <n v="77081.400000000009"/>
    <n v="0"/>
    <n v="306820.5"/>
    <n v="2525051.9"/>
    <n v="2525051.9"/>
    <m/>
    <x v="1"/>
    <m/>
    <d v="2024-11-14T00:00:00"/>
    <m/>
    <m/>
    <m/>
    <m/>
    <m/>
    <m/>
    <m/>
    <m/>
    <s v="CH 30 y 60"/>
  </r>
  <r>
    <x v="5"/>
    <d v="2024-10-08T00:00:00"/>
    <s v="FAC"/>
    <s v="A"/>
    <s v="0001"/>
    <s v="00000006"/>
    <x v="134"/>
    <n v="33718560999"/>
    <s v="Anticipo 50% Fabricación Mesada para Cocina"/>
    <s v="ARS"/>
    <n v="1"/>
    <n v="192971.67"/>
    <n v="40524.0507"/>
    <n v="0"/>
    <n v="0"/>
    <n v="0"/>
    <n v="0"/>
    <n v="0"/>
    <n v="0"/>
    <n v="0"/>
    <n v="40524.0507"/>
    <n v="233495.72070000001"/>
    <n v="233495.72070000001"/>
    <n v="0"/>
    <x v="1"/>
    <m/>
    <d v="2024-10-10T00:00:00"/>
    <n v="233495.72070000001"/>
    <m/>
    <m/>
    <m/>
    <m/>
    <m/>
    <n v="0"/>
    <m/>
    <m/>
  </r>
  <r>
    <x v="5"/>
    <d v="2024-10-08T00:00:00"/>
    <s v="FAC"/>
    <s v="A"/>
    <s v="0006"/>
    <s v="00064102"/>
    <x v="135"/>
    <n v="33708183429"/>
    <s v="Carga de oxigeno comprimido"/>
    <s v="ARS"/>
    <n v="1"/>
    <n v="2892.55"/>
    <n v="607.43550000000005"/>
    <n v="0"/>
    <n v="0"/>
    <n v="0"/>
    <n v="0"/>
    <n v="0"/>
    <n v="0"/>
    <n v="0"/>
    <n v="607.43550000000005"/>
    <n v="3499.9855000000002"/>
    <n v="3499.9855000000002"/>
    <n v="0"/>
    <x v="1"/>
    <m/>
    <d v="2024-10-08T00:00:00"/>
    <n v="0"/>
    <m/>
    <m/>
    <m/>
    <m/>
    <m/>
    <n v="3499.9855000000002"/>
    <m/>
    <m/>
  </r>
  <r>
    <x v="5"/>
    <d v="2024-10-08T00:00:00"/>
    <s v="FAC"/>
    <s v="A"/>
    <n v="1326"/>
    <s v="01703142"/>
    <x v="41"/>
    <n v="30663288497"/>
    <s v="Servicio de telefonia"/>
    <s v="ARS"/>
    <n v="1"/>
    <n v="51456.72"/>
    <n v="6983.97"/>
    <n v="0"/>
    <n v="4913.92"/>
    <n v="0"/>
    <n v="0"/>
    <n v="1543.7015999999999"/>
    <n v="1852.4419200000002"/>
    <n v="903"/>
    <n v="11897.89"/>
    <n v="67653.753519999998"/>
    <n v="67653.753519999998"/>
    <n v="0"/>
    <x v="0"/>
    <m/>
    <m/>
    <m/>
    <m/>
    <m/>
    <m/>
    <m/>
    <m/>
    <m/>
    <m/>
    <m/>
  </r>
  <r>
    <x v="5"/>
    <d v="2024-10-08T00:00:00"/>
    <s v="FAC"/>
    <s v="A"/>
    <s v="0014"/>
    <s v="00020437"/>
    <x v="136"/>
    <n v="20304199483"/>
    <s v="Pilas"/>
    <s v="ARS"/>
    <n v="1"/>
    <n v="3471.06"/>
    <n v="728.92259999999999"/>
    <n v="0"/>
    <n v="0"/>
    <n v="0"/>
    <n v="0"/>
    <n v="0"/>
    <n v="0"/>
    <n v="0.02"/>
    <n v="728.92259999999999"/>
    <n v="4200.0026000000007"/>
    <n v="4200.0026000000007"/>
    <n v="0"/>
    <x v="1"/>
    <m/>
    <d v="2024-10-08T00:00:00"/>
    <n v="0"/>
    <m/>
    <m/>
    <m/>
    <m/>
    <m/>
    <n v="4200.0026000000007"/>
    <m/>
    <m/>
  </r>
  <r>
    <x v="5"/>
    <d v="2024-10-08T00:00:00"/>
    <s v="FAC"/>
    <s v="A"/>
    <s v="0114"/>
    <s v="00001261"/>
    <x v="137"/>
    <n v="30644685906"/>
    <s v="Bolsas de consorcio"/>
    <s v="ARS"/>
    <n v="1"/>
    <n v="24574.38"/>
    <n v="5160.6198000000004"/>
    <n v="0"/>
    <n v="0"/>
    <n v="0"/>
    <n v="0"/>
    <n v="0"/>
    <n v="1228.72"/>
    <n v="0"/>
    <n v="5160.6198000000004"/>
    <n v="30963.719800000003"/>
    <n v="30963.719800000003"/>
    <n v="0"/>
    <x v="1"/>
    <m/>
    <d v="2024-10-08T00:00:00"/>
    <n v="0"/>
    <m/>
    <m/>
    <m/>
    <m/>
    <m/>
    <n v="30963.719800000003"/>
    <m/>
    <m/>
  </r>
  <r>
    <x v="5"/>
    <d v="2024-10-09T00:00:00"/>
    <s v="FAC"/>
    <s v="A"/>
    <s v="0004"/>
    <s v="00005902"/>
    <x v="15"/>
    <n v="30716688735"/>
    <s v="Insumos de Farmacia"/>
    <s v="ARS"/>
    <n v="1"/>
    <n v="141067.87"/>
    <n v="0"/>
    <n v="14812.126349999999"/>
    <n v="0"/>
    <n v="0"/>
    <n v="0"/>
    <n v="0"/>
    <n v="0"/>
    <m/>
    <n v="14812.126349999999"/>
    <n v="155879.99635"/>
    <n v="155879.99635"/>
    <n v="0"/>
    <x v="1"/>
    <m/>
    <d v="2024-11-29T00:00:00"/>
    <m/>
    <m/>
    <m/>
    <m/>
    <m/>
    <m/>
    <m/>
    <m/>
    <m/>
  </r>
  <r>
    <x v="5"/>
    <d v="2024-10-09T00:00:00"/>
    <s v="FAC"/>
    <s v="A"/>
    <s v="0003"/>
    <s v="00000054"/>
    <x v="138"/>
    <n v="20291360581"/>
    <s v="Honorarios Profesionales P2024-08 y P2024-09"/>
    <s v="ARS"/>
    <n v="1"/>
    <n v="0"/>
    <n v="0"/>
    <n v="0"/>
    <n v="0"/>
    <n v="0"/>
    <n v="371696.85"/>
    <n v="0"/>
    <n v="0"/>
    <n v="0"/>
    <n v="0"/>
    <n v="371696.85"/>
    <n v="371696.85"/>
    <n v="0"/>
    <x v="1"/>
    <m/>
    <m/>
    <m/>
    <m/>
    <m/>
    <m/>
    <m/>
    <m/>
    <m/>
    <m/>
    <m/>
  </r>
  <r>
    <x v="5"/>
    <d v="2024-10-09T00:00:00"/>
    <s v="N/C"/>
    <s v="A"/>
    <s v="0003"/>
    <s v="00000004"/>
    <x v="138"/>
    <n v="20291360581"/>
    <s v="Honorarios Profesionales P2024-08 y P2024-09"/>
    <s v="ARS"/>
    <n v="1"/>
    <n v="0"/>
    <n v="0"/>
    <n v="0"/>
    <n v="0"/>
    <n v="0"/>
    <n v="-371696.85"/>
    <n v="0"/>
    <n v="0"/>
    <n v="0"/>
    <n v="0"/>
    <n v="-371696.85"/>
    <n v="-371696.85"/>
    <n v="0"/>
    <x v="1"/>
    <m/>
    <m/>
    <m/>
    <m/>
    <m/>
    <m/>
    <m/>
    <m/>
    <m/>
    <m/>
    <m/>
  </r>
  <r>
    <x v="5"/>
    <d v="2024-10-09T00:00:00"/>
    <s v="FAC"/>
    <s v="A"/>
    <s v="0003"/>
    <s v="00000055"/>
    <x v="138"/>
    <n v="20291360581"/>
    <s v="Honorarios Profesionales P2024-08 y P2024-09"/>
    <s v="ARS"/>
    <n v="1"/>
    <n v="0"/>
    <n v="0"/>
    <n v="0"/>
    <n v="0"/>
    <n v="0"/>
    <n v="185848.43"/>
    <n v="0"/>
    <m/>
    <n v="0"/>
    <n v="0"/>
    <n v="185848.43"/>
    <n v="185848.43"/>
    <n v="0"/>
    <x v="1"/>
    <m/>
    <d v="2024-10-10T00:00:00"/>
    <n v="185848.43"/>
    <m/>
    <m/>
    <m/>
    <m/>
    <m/>
    <n v="0"/>
    <m/>
    <m/>
  </r>
  <r>
    <x v="5"/>
    <d v="2024-10-09T00:00:00"/>
    <s v="FAC"/>
    <s v="A"/>
    <s v="0003"/>
    <s v="00000053"/>
    <x v="138"/>
    <n v="20291360581"/>
    <s v="Honorarios Profesionales P2024-06 y P2024-07"/>
    <s v="ARS"/>
    <n v="1"/>
    <n v="0"/>
    <n v="0"/>
    <n v="0"/>
    <n v="0"/>
    <n v="0"/>
    <n v="147198.39000000001"/>
    <n v="0"/>
    <n v="0"/>
    <n v="0"/>
    <n v="0"/>
    <n v="147198.39000000001"/>
    <n v="147198.39000000001"/>
    <n v="0"/>
    <x v="1"/>
    <m/>
    <d v="2024-10-10T00:00:00"/>
    <n v="147198.39000000001"/>
    <m/>
    <m/>
    <m/>
    <m/>
    <m/>
    <n v="0"/>
    <m/>
    <m/>
  </r>
  <r>
    <x v="5"/>
    <d v="2024-10-09T00:00:00"/>
    <s v="FAC"/>
    <s v="A"/>
    <s v="0069"/>
    <s v="00001230"/>
    <x v="44"/>
    <n v="33707243479"/>
    <s v="Insumos de pintureria"/>
    <s v="ARS"/>
    <n v="1"/>
    <n v="176859.5"/>
    <n v="37140.494999999995"/>
    <n v="0"/>
    <n v="0"/>
    <n v="0"/>
    <n v="0"/>
    <n v="0"/>
    <n v="0"/>
    <n v="0"/>
    <n v="37140.494999999995"/>
    <n v="213999.995"/>
    <n v="213999.995"/>
    <n v="0"/>
    <x v="1"/>
    <m/>
    <d v="2024-10-10T00:00:00"/>
    <n v="213999.995"/>
    <m/>
    <m/>
    <m/>
    <m/>
    <m/>
    <n v="0"/>
    <m/>
    <m/>
  </r>
  <r>
    <x v="5"/>
    <d v="2024-10-09T00:00:00"/>
    <s v="FAC"/>
    <s v="A"/>
    <s v="0005"/>
    <s v="00012831"/>
    <x v="123"/>
    <n v="30712149945"/>
    <s v="Insumos sanitarios"/>
    <s v="ARS"/>
    <n v="1"/>
    <n v="151944.74"/>
    <n v="31908.395399999998"/>
    <n v="0"/>
    <n v="0"/>
    <n v="0"/>
    <n v="0"/>
    <n v="0"/>
    <n v="0"/>
    <n v="0"/>
    <n v="31908.395399999998"/>
    <n v="183853.1354"/>
    <n v="183853.1354"/>
    <n v="0"/>
    <x v="1"/>
    <m/>
    <d v="2024-10-08T00:00:00"/>
    <n v="183853.1354"/>
    <m/>
    <m/>
    <m/>
    <m/>
    <m/>
    <n v="0"/>
    <m/>
    <m/>
  </r>
  <r>
    <x v="5"/>
    <d v="2024-10-09T00:00:00"/>
    <s v="FAC"/>
    <s v="A"/>
    <s v="0040"/>
    <s v="00005829"/>
    <x v="139"/>
    <n v="30718871009"/>
    <s v="Materiales para construcción"/>
    <s v="ARS"/>
    <n v="1"/>
    <n v="1124164.24"/>
    <n v="236074.49039999998"/>
    <n v="0"/>
    <n v="0"/>
    <n v="0"/>
    <n v="0"/>
    <n v="0"/>
    <n v="40469.912640000002"/>
    <n v="0"/>
    <n v="236074.49039999998"/>
    <n v="1400708.64304"/>
    <n v="1400708.64304"/>
    <n v="25893.37"/>
    <x v="1"/>
    <m/>
    <d v="2024-10-08T00:00:00"/>
    <n v="1400708.64304"/>
    <m/>
    <m/>
    <m/>
    <m/>
    <m/>
    <n v="0"/>
    <m/>
    <m/>
  </r>
  <r>
    <x v="5"/>
    <d v="2024-10-09T00:00:00"/>
    <s v="FAC"/>
    <s v="B"/>
    <s v="0010"/>
    <s v="00070291"/>
    <x v="140"/>
    <n v="20180185107"/>
    <s v="Gastos Sin Factura"/>
    <s v="ARS"/>
    <n v="1"/>
    <n v="1800"/>
    <n v="0"/>
    <n v="0"/>
    <n v="0"/>
    <n v="0"/>
    <n v="0"/>
    <n v="0"/>
    <n v="0"/>
    <n v="0"/>
    <n v="0"/>
    <n v="1800"/>
    <n v="1800"/>
    <n v="0"/>
    <x v="1"/>
    <m/>
    <d v="2024-10-09T00:00:00"/>
    <n v="0"/>
    <m/>
    <m/>
    <m/>
    <m/>
    <m/>
    <n v="1800"/>
    <m/>
    <m/>
  </r>
  <r>
    <x v="5"/>
    <d v="2024-10-09T00:00:00"/>
    <s v="REC"/>
    <s v="X"/>
    <s v="0001"/>
    <s v="00000082"/>
    <x v="64"/>
    <n v="30111111111"/>
    <s v="Cadete"/>
    <s v="ARS"/>
    <n v="1"/>
    <n v="2000"/>
    <n v="0"/>
    <n v="0"/>
    <n v="0"/>
    <n v="0"/>
    <n v="0"/>
    <n v="0"/>
    <n v="0"/>
    <n v="0"/>
    <n v="0"/>
    <n v="2000"/>
    <n v="2000"/>
    <n v="0"/>
    <x v="1"/>
    <m/>
    <d v="2024-10-09T00:00:00"/>
    <n v="0"/>
    <m/>
    <m/>
    <m/>
    <m/>
    <m/>
    <n v="2000"/>
    <m/>
    <m/>
  </r>
  <r>
    <x v="5"/>
    <d v="2024-10-09T00:00:00"/>
    <s v="A cuenta"/>
    <m/>
    <m/>
    <m/>
    <x v="64"/>
    <n v="30111111111"/>
    <s v="Pedido de quirofano"/>
    <s v="ARS"/>
    <n v="1"/>
    <n v="2000"/>
    <n v="0"/>
    <n v="0"/>
    <n v="0"/>
    <n v="0"/>
    <n v="0"/>
    <n v="0"/>
    <n v="0"/>
    <n v="0"/>
    <n v="0"/>
    <n v="2000"/>
    <n v="2000"/>
    <n v="0"/>
    <x v="1"/>
    <m/>
    <d v="2024-10-09T00:00:00"/>
    <n v="0"/>
    <m/>
    <m/>
    <m/>
    <m/>
    <m/>
    <n v="2000"/>
    <m/>
    <m/>
  </r>
  <r>
    <x v="5"/>
    <d v="2024-10-09T00:00:00"/>
    <s v="FAC"/>
    <s v="A"/>
    <s v="0068"/>
    <s v="00014137"/>
    <x v="42"/>
    <n v="30583516790"/>
    <s v="Insumos de Librería"/>
    <s v="ARS"/>
    <n v="1"/>
    <n v="1997.11"/>
    <n v="419.39309999999995"/>
    <n v="0"/>
    <n v="0"/>
    <n v="0"/>
    <n v="0"/>
    <n v="0"/>
    <n v="0"/>
    <n v="0"/>
    <n v="419.39309999999995"/>
    <n v="2416.5030999999999"/>
    <n v="2416.5030999999999"/>
    <n v="0"/>
    <x v="1"/>
    <m/>
    <d v="2024-10-09T00:00:00"/>
    <n v="0"/>
    <m/>
    <m/>
    <m/>
    <m/>
    <m/>
    <n v="2416.5030999999999"/>
    <m/>
    <m/>
  </r>
  <r>
    <x v="5"/>
    <d v="2024-10-09T00:00:00"/>
    <s v="FAC"/>
    <s v="C"/>
    <s v="0002"/>
    <s v="00001827"/>
    <x v="27"/>
    <n v="20105424605"/>
    <s v="Fotocopias - Insumos de librería y oficina"/>
    <s v="ARS"/>
    <n v="1"/>
    <n v="4470"/>
    <n v="0"/>
    <n v="0"/>
    <n v="0"/>
    <n v="0"/>
    <n v="0"/>
    <n v="0"/>
    <n v="0"/>
    <n v="0"/>
    <n v="0"/>
    <n v="4470"/>
    <n v="4470"/>
    <n v="0"/>
    <x v="1"/>
    <m/>
    <d v="2024-10-09T00:00:00"/>
    <n v="0"/>
    <m/>
    <m/>
    <m/>
    <m/>
    <m/>
    <n v="4470"/>
    <m/>
    <m/>
  </r>
  <r>
    <x v="5"/>
    <d v="2024-10-09T00:00:00"/>
    <s v="FAC"/>
    <s v="B"/>
    <s v="0004"/>
    <s v="00047026"/>
    <x v="141"/>
    <n v="30709764272"/>
    <s v="Comida  "/>
    <s v="ARS"/>
    <n v="1"/>
    <n v="29200"/>
    <n v="0"/>
    <n v="0"/>
    <n v="0"/>
    <n v="0"/>
    <n v="0"/>
    <n v="0"/>
    <n v="0"/>
    <n v="0"/>
    <n v="0"/>
    <n v="29200"/>
    <n v="29200"/>
    <n v="0"/>
    <x v="1"/>
    <m/>
    <d v="2024-10-09T00:00:00"/>
    <n v="0"/>
    <m/>
    <m/>
    <m/>
    <m/>
    <m/>
    <n v="29200"/>
    <m/>
    <m/>
  </r>
  <r>
    <x v="5"/>
    <d v="2024-10-09T00:00:00"/>
    <s v="FAC"/>
    <s v="B"/>
    <s v="0010"/>
    <s v="00070222"/>
    <x v="140"/>
    <n v="20180185107"/>
    <s v="Gastos Sin Factura - bebidas"/>
    <s v="ARS"/>
    <n v="1"/>
    <n v="7200"/>
    <n v="0"/>
    <n v="0"/>
    <n v="0"/>
    <n v="0"/>
    <n v="0"/>
    <n v="0"/>
    <n v="0"/>
    <n v="0"/>
    <n v="0"/>
    <n v="7200"/>
    <n v="7200"/>
    <n v="0"/>
    <x v="1"/>
    <m/>
    <d v="2024-10-09T00:00:00"/>
    <n v="0"/>
    <m/>
    <m/>
    <m/>
    <m/>
    <m/>
    <n v="7200"/>
    <m/>
    <m/>
  </r>
  <r>
    <x v="5"/>
    <d v="2024-10-10T00:00:00"/>
    <s v="FAC"/>
    <s v="A"/>
    <s v="0001"/>
    <s v="00000002"/>
    <x v="74"/>
    <n v="30718646592"/>
    <s v="Guantes (falta remito)"/>
    <s v="ARS"/>
    <n v="1"/>
    <n v="661158"/>
    <n v="138843.18"/>
    <n v="0"/>
    <n v="0"/>
    <n v="0"/>
    <n v="0"/>
    <n v="0"/>
    <n v="0"/>
    <n v="0"/>
    <n v="138843.18"/>
    <n v="800001.17999999993"/>
    <n v="800001.17999999993"/>
    <m/>
    <x v="1"/>
    <m/>
    <d v="2024-09-20T00:00:00"/>
    <n v="800001.17999999993"/>
    <m/>
    <m/>
    <m/>
    <m/>
    <m/>
    <n v="0"/>
    <m/>
    <m/>
  </r>
  <r>
    <x v="5"/>
    <d v="2024-10-10T00:00:00"/>
    <s v="FAC"/>
    <s v="A"/>
    <s v="0003"/>
    <s v="00006422"/>
    <x v="22"/>
    <n v="33716385359"/>
    <s v="Insumos de Farmacia"/>
    <s v="ARS"/>
    <n v="1"/>
    <n v="0"/>
    <n v="0"/>
    <n v="0"/>
    <n v="0"/>
    <n v="0"/>
    <n v="240000"/>
    <n v="0"/>
    <n v="8640.0000000000018"/>
    <n v="0"/>
    <n v="0"/>
    <n v="248640"/>
    <n v="248640"/>
    <m/>
    <x v="1"/>
    <m/>
    <d v="2024-11-14T00:00:00"/>
    <m/>
    <m/>
    <m/>
    <m/>
    <m/>
    <m/>
    <m/>
    <m/>
    <s v="CH 30 y 60"/>
  </r>
  <r>
    <x v="5"/>
    <d v="2024-10-10T00:00:00"/>
    <s v="FAC"/>
    <s v="C"/>
    <s v="0001"/>
    <s v="00000009"/>
    <x v="66"/>
    <n v="20356277490"/>
    <s v="Honorarios Guardias Medicas UTI P2024-09"/>
    <s v="ARS"/>
    <n v="1"/>
    <n v="601200"/>
    <n v="0"/>
    <n v="0"/>
    <n v="0"/>
    <n v="0"/>
    <n v="0"/>
    <n v="0"/>
    <n v="0"/>
    <n v="0"/>
    <n v="0"/>
    <n v="601200"/>
    <n v="601200"/>
    <n v="0"/>
    <x v="1"/>
    <m/>
    <d v="2024-10-16T00:00:00"/>
    <n v="601200"/>
    <m/>
    <m/>
    <m/>
    <m/>
    <m/>
    <n v="0"/>
    <m/>
    <m/>
  </r>
  <r>
    <x v="5"/>
    <d v="2024-10-10T00:00:00"/>
    <s v="FAC"/>
    <s v="C"/>
    <s v="0001"/>
    <s v="00000008"/>
    <x v="66"/>
    <n v="20356277490"/>
    <s v="Honorarios Guardias Medicas Piso P2024-09"/>
    <s v="ARS"/>
    <n v="1"/>
    <n v="823200"/>
    <n v="0"/>
    <n v="0"/>
    <n v="0"/>
    <n v="0"/>
    <n v="0"/>
    <n v="0"/>
    <n v="0"/>
    <n v="0"/>
    <n v="0"/>
    <n v="823200"/>
    <n v="823200"/>
    <n v="0"/>
    <x v="1"/>
    <m/>
    <d v="2024-10-16T00:00:00"/>
    <n v="823200"/>
    <m/>
    <m/>
    <m/>
    <m/>
    <m/>
    <n v="0"/>
    <m/>
    <m/>
  </r>
  <r>
    <x v="5"/>
    <d v="2024-10-10T00:00:00"/>
    <s v="FAC"/>
    <s v="C"/>
    <s v="0002"/>
    <s v="00000045"/>
    <x v="77"/>
    <n v="27299177683"/>
    <s v="Honorarios Medicos UTI P2024-09"/>
    <s v="ARS"/>
    <n v="1"/>
    <n v="216000"/>
    <n v="0"/>
    <n v="0"/>
    <n v="0"/>
    <n v="0"/>
    <n v="0"/>
    <n v="0"/>
    <n v="0"/>
    <n v="0"/>
    <n v="0"/>
    <n v="216000"/>
    <n v="216000"/>
    <n v="0"/>
    <x v="1"/>
    <m/>
    <d v="2024-10-16T00:00:00"/>
    <n v="216000"/>
    <m/>
    <m/>
    <m/>
    <m/>
    <m/>
    <n v="0"/>
    <m/>
    <m/>
  </r>
  <r>
    <x v="5"/>
    <d v="2024-10-10T00:00:00"/>
    <s v="FAC"/>
    <s v="C"/>
    <s v="0002"/>
    <s v="00000100"/>
    <x v="49"/>
    <n v="27299781688"/>
    <s v="Honorarios Medicos Guardias UTI P2024-09"/>
    <s v="ARS"/>
    <n v="1"/>
    <n v="486000"/>
    <n v="0"/>
    <n v="0"/>
    <n v="0"/>
    <n v="0"/>
    <n v="0"/>
    <n v="0"/>
    <n v="0"/>
    <n v="0"/>
    <n v="0"/>
    <n v="486000"/>
    <n v="486000"/>
    <n v="0"/>
    <x v="1"/>
    <m/>
    <d v="2024-10-16T00:00:00"/>
    <n v="486000"/>
    <m/>
    <m/>
    <m/>
    <m/>
    <m/>
    <n v="0"/>
    <m/>
    <m/>
  </r>
  <r>
    <x v="5"/>
    <d v="2024-10-10T00:00:00"/>
    <s v="FAC"/>
    <s v="C"/>
    <s v="0001"/>
    <s v="00000034"/>
    <x v="76"/>
    <n v="20306367553"/>
    <s v="Honorarios Medicos Guardias UTI P2024-09"/>
    <s v="ARS"/>
    <n v="1"/>
    <n v="201600"/>
    <n v="0"/>
    <n v="0"/>
    <n v="0"/>
    <n v="0"/>
    <n v="0"/>
    <n v="0"/>
    <n v="0"/>
    <n v="0"/>
    <n v="0"/>
    <n v="201600"/>
    <n v="201600"/>
    <n v="0"/>
    <x v="1"/>
    <m/>
    <d v="2024-10-16T00:00:00"/>
    <n v="201600"/>
    <m/>
    <m/>
    <m/>
    <m/>
    <m/>
    <n v="0"/>
    <m/>
    <m/>
  </r>
  <r>
    <x v="5"/>
    <d v="2024-10-10T00:00:00"/>
    <s v="FAC"/>
    <s v="C"/>
    <s v="0001"/>
    <s v="00000019"/>
    <x v="69"/>
    <n v="27383412361"/>
    <s v="Honorarios Medicos UTI P2024-09"/>
    <s v="ARS"/>
    <n v="1"/>
    <n v="403200"/>
    <n v="0"/>
    <n v="0"/>
    <n v="0"/>
    <n v="0"/>
    <n v="0"/>
    <n v="0"/>
    <n v="0"/>
    <n v="0"/>
    <n v="0"/>
    <n v="403200"/>
    <n v="403200"/>
    <n v="0"/>
    <x v="1"/>
    <m/>
    <d v="2024-10-16T00:00:00"/>
    <n v="403200"/>
    <m/>
    <m/>
    <m/>
    <m/>
    <m/>
    <n v="0"/>
    <m/>
    <m/>
  </r>
  <r>
    <x v="5"/>
    <d v="2024-10-11T00:00:00"/>
    <s v="FAC"/>
    <s v="C"/>
    <s v="0002"/>
    <s v="00000047"/>
    <x v="70"/>
    <n v="27405241760"/>
    <s v="Honorarios Guardias Medicas UTI P2024-09"/>
    <s v="ARS"/>
    <n v="1"/>
    <n v="403200"/>
    <n v="0"/>
    <n v="0"/>
    <n v="0"/>
    <n v="0"/>
    <n v="0"/>
    <n v="0"/>
    <n v="0"/>
    <n v="0"/>
    <n v="0"/>
    <n v="403200"/>
    <n v="403200"/>
    <n v="0"/>
    <x v="1"/>
    <m/>
    <d v="2024-10-16T00:00:00"/>
    <n v="403200"/>
    <m/>
    <m/>
    <m/>
    <m/>
    <m/>
    <n v="0"/>
    <m/>
    <m/>
  </r>
  <r>
    <x v="5"/>
    <d v="2024-10-11T00:00:00"/>
    <s v="FAC"/>
    <s v="C"/>
    <s v="0001"/>
    <s v="00000035"/>
    <x v="72"/>
    <n v="20957725563"/>
    <s v="Honorarios Medicos UTI P2024-09"/>
    <s v="ARS"/>
    <n v="1"/>
    <n v="300000"/>
    <n v="0"/>
    <n v="0"/>
    <n v="0"/>
    <n v="0"/>
    <n v="0"/>
    <n v="0"/>
    <n v="0"/>
    <n v="0"/>
    <n v="0"/>
    <n v="300000"/>
    <n v="300000"/>
    <n v="0"/>
    <x v="1"/>
    <m/>
    <d v="2024-10-16T00:00:00"/>
    <n v="300000"/>
    <m/>
    <m/>
    <m/>
    <m/>
    <m/>
    <n v="0"/>
    <m/>
    <m/>
  </r>
  <r>
    <x v="5"/>
    <d v="2024-10-11T00:00:00"/>
    <s v="FAC"/>
    <s v="C"/>
    <s v="0001"/>
    <s v="00000122"/>
    <x v="142"/>
    <n v="20213192850"/>
    <s v="Reparación reguladores de oxigeno"/>
    <s v="ARS"/>
    <n v="1"/>
    <n v="115000"/>
    <n v="0"/>
    <n v="0"/>
    <n v="0"/>
    <n v="0"/>
    <n v="0"/>
    <n v="0"/>
    <n v="0"/>
    <n v="0"/>
    <n v="0"/>
    <n v="115000"/>
    <n v="115000"/>
    <n v="0"/>
    <x v="1"/>
    <m/>
    <d v="2024-10-18T00:00:00"/>
    <n v="115000"/>
    <m/>
    <m/>
    <m/>
    <m/>
    <m/>
    <n v="0"/>
    <m/>
    <m/>
  </r>
  <r>
    <x v="5"/>
    <d v="2024-10-12T00:00:00"/>
    <s v="FAC"/>
    <s v="A"/>
    <s v="0172"/>
    <s v="00013215"/>
    <x v="20"/>
    <n v="30673770483"/>
    <s v="Mercadería para oficina"/>
    <s v="ARS"/>
    <n v="1"/>
    <n v="14978.94"/>
    <n v="3145.5774000000001"/>
    <n v="0"/>
    <n v="0"/>
    <n v="0"/>
    <n v="0"/>
    <n v="0"/>
    <n v="539.24184000000014"/>
    <n v="0"/>
    <n v="3145.5774000000001"/>
    <n v="18663.759239999999"/>
    <n v="18663.759239999999"/>
    <n v="0"/>
    <x v="1"/>
    <m/>
    <d v="2024-10-12T00:00:00"/>
    <n v="0"/>
    <m/>
    <m/>
    <m/>
    <m/>
    <m/>
    <n v="18663.759239999999"/>
    <m/>
    <m/>
  </r>
  <r>
    <x v="5"/>
    <d v="2024-10-12T00:00:00"/>
    <s v="FAC"/>
    <s v="A"/>
    <s v="0024"/>
    <s v="00000180"/>
    <x v="18"/>
    <n v="30716375184"/>
    <s v="Mercadería para oficina"/>
    <s v="ARS"/>
    <n v="1"/>
    <n v="10829.72"/>
    <n v="2274.2411999999999"/>
    <n v="0"/>
    <n v="0"/>
    <n v="0"/>
    <n v="0"/>
    <n v="0"/>
    <n v="0"/>
    <n v="0"/>
    <n v="2274.2411999999999"/>
    <n v="13103.9612"/>
    <n v="13103.9612"/>
    <n v="0"/>
    <x v="1"/>
    <m/>
    <d v="2024-10-12T00:00:00"/>
    <n v="0"/>
    <m/>
    <m/>
    <m/>
    <m/>
    <m/>
    <n v="13103.9612"/>
    <m/>
    <m/>
  </r>
  <r>
    <x v="5"/>
    <d v="2024-10-13T00:00:00"/>
    <s v="FAC"/>
    <s v="A"/>
    <s v="0003"/>
    <s v="00000242"/>
    <x v="92"/>
    <n v="20215810977"/>
    <s v="Recetarios e imprenta"/>
    <s v="ARS"/>
    <n v="1"/>
    <n v="76859.5"/>
    <n v="16140.494999999999"/>
    <n v="0"/>
    <n v="0"/>
    <n v="0"/>
    <n v="0"/>
    <n v="0"/>
    <n v="0"/>
    <n v="0"/>
    <n v="16140.494999999999"/>
    <n v="92999.994999999995"/>
    <n v="92999.994999999995"/>
    <n v="0"/>
    <x v="1"/>
    <m/>
    <d v="2024-10-15T00:00:00"/>
    <n v="92999.994999999995"/>
    <m/>
    <m/>
    <m/>
    <m/>
    <m/>
    <n v="0"/>
    <m/>
    <m/>
  </r>
  <r>
    <x v="5"/>
    <d v="2024-10-14T00:00:00"/>
    <s v="FAC"/>
    <s v="A"/>
    <s v="0005"/>
    <s v="00018401"/>
    <x v="143"/>
    <n v="20085386205"/>
    <s v="Articulos de ferreteria"/>
    <s v="ARS"/>
    <n v="1"/>
    <n v="31487.599999999999"/>
    <n v="6612.3959999999997"/>
    <n v="0"/>
    <n v="0"/>
    <n v="0"/>
    <n v="0"/>
    <n v="0"/>
    <n v="0"/>
    <n v="0"/>
    <n v="6612.3959999999997"/>
    <n v="38099.995999999999"/>
    <n v="38099.995999999999"/>
    <m/>
    <x v="1"/>
    <m/>
    <d v="2024-10-14T00:00:00"/>
    <n v="38099.995999999999"/>
    <m/>
    <m/>
    <m/>
    <m/>
    <m/>
    <n v="0"/>
    <m/>
    <m/>
  </r>
  <r>
    <x v="5"/>
    <d v="2024-10-14T00:00:00"/>
    <s v="FAC"/>
    <s v="A"/>
    <s v="0040"/>
    <s v="00005866"/>
    <x v="139"/>
    <n v="30718871009"/>
    <s v="Materiales para construcción"/>
    <s v="ARS"/>
    <n v="1"/>
    <n v="72941.34"/>
    <n v="15317.681399999999"/>
    <n v="0"/>
    <n v="0"/>
    <n v="0"/>
    <n v="0"/>
    <n v="0"/>
    <n v="2625.8882400000002"/>
    <n v="0"/>
    <n v="15317.681399999999"/>
    <n v="90884.909639999998"/>
    <n v="90884.909639999998"/>
    <n v="0"/>
    <x v="1"/>
    <m/>
    <d v="2024-10-08T00:00:00"/>
    <n v="90884.909639999998"/>
    <m/>
    <m/>
    <m/>
    <m/>
    <m/>
    <n v="0"/>
    <m/>
    <m/>
  </r>
  <r>
    <x v="5"/>
    <d v="2024-10-14T00:00:00"/>
    <s v="FAC"/>
    <s v="C"/>
    <s v="0003"/>
    <s v="00000063"/>
    <x v="144"/>
    <n v="20279055196"/>
    <s v="Sevorane 250 ml para farmacia"/>
    <s v="ARS"/>
    <n v="1"/>
    <n v="555000"/>
    <n v="0"/>
    <n v="0"/>
    <n v="0"/>
    <n v="0"/>
    <n v="0"/>
    <n v="0"/>
    <n v="0"/>
    <n v="0"/>
    <n v="0"/>
    <n v="555000"/>
    <n v="555000"/>
    <n v="0"/>
    <x v="1"/>
    <m/>
    <d v="2024-10-16T00:00:00"/>
    <n v="555000"/>
    <m/>
    <m/>
    <m/>
    <m/>
    <m/>
    <n v="0"/>
    <m/>
    <m/>
  </r>
  <r>
    <x v="5"/>
    <d v="2024-10-14T00:00:00"/>
    <s v="FAC"/>
    <s v="C"/>
    <s v="0002"/>
    <s v="00001830"/>
    <x v="27"/>
    <n v="20105424605"/>
    <s v="Fotocopias - Insumos de librería y oficina"/>
    <s v="ARS"/>
    <n v="1"/>
    <n v="360"/>
    <n v="0"/>
    <n v="0"/>
    <n v="0"/>
    <n v="0"/>
    <n v="0"/>
    <n v="0"/>
    <n v="0"/>
    <n v="0"/>
    <n v="0"/>
    <n v="360"/>
    <n v="360"/>
    <n v="0"/>
    <x v="1"/>
    <m/>
    <d v="2024-10-14T00:00:00"/>
    <n v="0"/>
    <m/>
    <m/>
    <m/>
    <m/>
    <m/>
    <n v="360"/>
    <m/>
    <m/>
  </r>
  <r>
    <x v="5"/>
    <d v="2024-10-14T00:00:00"/>
    <s v="FAC"/>
    <s v="A"/>
    <s v="0002"/>
    <s v="00001832"/>
    <x v="145"/>
    <n v="33717008419"/>
    <s v="Descartables - bolsas de consorcio"/>
    <s v="ARS"/>
    <n v="1"/>
    <n v="47995.87"/>
    <n v="10079.1327"/>
    <n v="0"/>
    <n v="0"/>
    <n v="0"/>
    <n v="0"/>
    <n v="0"/>
    <n v="0"/>
    <n v="0"/>
    <n v="10079.1327"/>
    <n v="58075.002700000005"/>
    <n v="58075.002700000005"/>
    <n v="0"/>
    <x v="1"/>
    <m/>
    <d v="2024-10-14T00:00:00"/>
    <n v="0"/>
    <m/>
    <m/>
    <m/>
    <m/>
    <m/>
    <n v="58075.002700000005"/>
    <m/>
    <m/>
  </r>
  <r>
    <x v="5"/>
    <d v="2024-10-14T00:00:00"/>
    <s v="FAC"/>
    <s v="A"/>
    <s v="0025"/>
    <s v="00000673"/>
    <x v="39"/>
    <n v="20202328734"/>
    <s v="Insumos varios de comida"/>
    <s v="ARS"/>
    <n v="1"/>
    <n v="7900.83"/>
    <n v="1659.1742999999999"/>
    <n v="0"/>
    <n v="0"/>
    <n v="0"/>
    <n v="0"/>
    <n v="0"/>
    <n v="0"/>
    <n v="0"/>
    <n v="1659.1742999999999"/>
    <n v="9560.0043000000005"/>
    <n v="9560.0043000000005"/>
    <n v="0"/>
    <x v="1"/>
    <m/>
    <d v="2024-10-14T00:00:00"/>
    <n v="0"/>
    <m/>
    <m/>
    <m/>
    <m/>
    <m/>
    <n v="9560.0043000000005"/>
    <m/>
    <m/>
  </r>
  <r>
    <x v="5"/>
    <d v="2024-10-14T00:00:00"/>
    <s v="FAC"/>
    <s v="A"/>
    <s v="0002"/>
    <s v="00001835"/>
    <x v="145"/>
    <n v="33717008419"/>
    <s v="Tubo hamburguesa "/>
    <s v="ARS"/>
    <n v="1"/>
    <n v="6617.81"/>
    <n v="1389.7401"/>
    <n v="0"/>
    <n v="0"/>
    <n v="0"/>
    <n v="0"/>
    <n v="0"/>
    <n v="0"/>
    <n v="0"/>
    <n v="1389.7401"/>
    <n v="8007.5501000000004"/>
    <n v="8007.5501000000004"/>
    <n v="0"/>
    <x v="1"/>
    <m/>
    <d v="2024-10-14T00:00:00"/>
    <n v="0"/>
    <m/>
    <m/>
    <m/>
    <m/>
    <m/>
    <n v="8007.5501000000004"/>
    <m/>
    <m/>
  </r>
  <r>
    <x v="5"/>
    <d v="2024-10-14T00:00:00"/>
    <s v="FAC"/>
    <s v="A"/>
    <s v="0040"/>
    <s v="00006645"/>
    <x v="146"/>
    <n v="30709867578"/>
    <s v="Insumos de Librería"/>
    <s v="ARS"/>
    <n v="1"/>
    <n v="25702.48"/>
    <n v="5397.5207999999993"/>
    <n v="0"/>
    <n v="0"/>
    <n v="0"/>
    <n v="0"/>
    <n v="0"/>
    <n v="0"/>
    <n v="0"/>
    <n v="5397.5207999999993"/>
    <n v="31100.000799999998"/>
    <n v="31100.000799999998"/>
    <n v="0"/>
    <x v="1"/>
    <m/>
    <d v="2024-10-14T00:00:00"/>
    <n v="0"/>
    <m/>
    <m/>
    <m/>
    <m/>
    <m/>
    <n v="31100.000799999998"/>
    <m/>
    <m/>
  </r>
  <r>
    <x v="5"/>
    <d v="2024-10-15T00:00:00"/>
    <s v="FAC"/>
    <s v="C"/>
    <s v="0001"/>
    <s v="00000017"/>
    <x v="52"/>
    <n v="20407752458"/>
    <s v="Honorarios Médicos Piso P2024-09"/>
    <s v="ARS"/>
    <n v="1"/>
    <n v="1048000"/>
    <n v="0"/>
    <n v="0"/>
    <n v="0"/>
    <n v="0"/>
    <n v="0"/>
    <n v="0"/>
    <n v="0"/>
    <n v="0"/>
    <n v="0"/>
    <n v="1048000"/>
    <n v="1048000"/>
    <n v="0"/>
    <x v="1"/>
    <m/>
    <d v="2024-10-16T00:00:00"/>
    <n v="1048000"/>
    <m/>
    <m/>
    <m/>
    <m/>
    <m/>
    <n v="0"/>
    <m/>
    <m/>
  </r>
  <r>
    <x v="5"/>
    <d v="2024-10-15T00:00:00"/>
    <s v="FAC"/>
    <s v="C"/>
    <s v="0002"/>
    <s v="00000222"/>
    <x v="82"/>
    <n v="27328052887"/>
    <s v="Honorarios Medicos Piso y UTI P2024-09"/>
    <s v="ARS"/>
    <n v="1"/>
    <n v="729600"/>
    <n v="0"/>
    <n v="0"/>
    <n v="0"/>
    <n v="0"/>
    <n v="0"/>
    <n v="0"/>
    <n v="0"/>
    <n v="0"/>
    <n v="0"/>
    <n v="729600"/>
    <n v="729600"/>
    <n v="0"/>
    <x v="1"/>
    <m/>
    <d v="2024-10-16T00:00:00"/>
    <n v="729600"/>
    <m/>
    <m/>
    <m/>
    <m/>
    <m/>
    <n v="0"/>
    <m/>
    <m/>
  </r>
  <r>
    <x v="5"/>
    <d v="2024-10-15T00:00:00"/>
    <s v="FAC"/>
    <s v="C"/>
    <s v="0001"/>
    <s v="00000080"/>
    <x v="56"/>
    <n v="27362344072"/>
    <s v="Honorarios Medicos Piso P2024-09"/>
    <s v="ARS"/>
    <n v="1"/>
    <n v="693600"/>
    <n v="0"/>
    <n v="0"/>
    <n v="0"/>
    <n v="0"/>
    <n v="0"/>
    <n v="0"/>
    <n v="0"/>
    <n v="0"/>
    <n v="0"/>
    <n v="693600"/>
    <n v="693600"/>
    <n v="0"/>
    <x v="1"/>
    <m/>
    <d v="2024-10-16T00:00:00"/>
    <n v="693600"/>
    <m/>
    <m/>
    <m/>
    <m/>
    <m/>
    <n v="0"/>
    <m/>
    <m/>
  </r>
  <r>
    <x v="5"/>
    <d v="2024-10-15T00:00:00"/>
    <s v="FAC"/>
    <s v="C"/>
    <s v="0002"/>
    <s v="00000037"/>
    <x v="58"/>
    <n v="20385006226"/>
    <s v="Honorarios Médicos Piso P2024-09"/>
    <s v="ARS"/>
    <n v="1"/>
    <n v="548400"/>
    <n v="0"/>
    <n v="0"/>
    <n v="0"/>
    <n v="0"/>
    <n v="0"/>
    <n v="0"/>
    <n v="0"/>
    <n v="0"/>
    <n v="0"/>
    <n v="548400"/>
    <n v="548400"/>
    <n v="0"/>
    <x v="1"/>
    <m/>
    <d v="2024-10-16T00:00:00"/>
    <n v="548400"/>
    <m/>
    <m/>
    <m/>
    <m/>
    <m/>
    <n v="0"/>
    <m/>
    <m/>
  </r>
  <r>
    <x v="5"/>
    <d v="2024-10-15T00:00:00"/>
    <s v="FAC"/>
    <s v="C"/>
    <s v="0001"/>
    <s v="00000037"/>
    <x v="67"/>
    <n v="20352639606"/>
    <s v="Honorarios Guardias Medicas UTI P2024-09"/>
    <s v="ARS"/>
    <n v="1"/>
    <n v="1074000"/>
    <n v="0"/>
    <n v="0"/>
    <n v="0"/>
    <n v="0"/>
    <n v="0"/>
    <n v="0"/>
    <n v="0"/>
    <n v="0"/>
    <n v="0"/>
    <n v="1074000"/>
    <n v="1074000"/>
    <n v="0"/>
    <x v="1"/>
    <m/>
    <d v="2024-10-16T00:00:00"/>
    <n v="1074000"/>
    <m/>
    <m/>
    <m/>
    <m/>
    <m/>
    <n v="0"/>
    <m/>
    <m/>
  </r>
  <r>
    <x v="5"/>
    <d v="2024-10-15T00:00:00"/>
    <s v="FAC"/>
    <s v="C"/>
    <s v="0003"/>
    <s v="00000077"/>
    <x v="102"/>
    <n v="27260306680"/>
    <s v="Honorarios Mucama (Rodriguez Balderrama Claudia) P2024-09"/>
    <s v="ARS"/>
    <n v="1"/>
    <n v="400000"/>
    <n v="0"/>
    <n v="0"/>
    <n v="0"/>
    <n v="0"/>
    <n v="0"/>
    <n v="0"/>
    <n v="0"/>
    <n v="0"/>
    <n v="0"/>
    <n v="400000"/>
    <n v="400000"/>
    <n v="0"/>
    <x v="1"/>
    <m/>
    <d v="2024-10-17T00:00:00"/>
    <n v="400000"/>
    <m/>
    <m/>
    <m/>
    <m/>
    <m/>
    <n v="0"/>
    <m/>
    <m/>
  </r>
  <r>
    <x v="5"/>
    <d v="2024-10-15T00:00:00"/>
    <s v="FAC"/>
    <s v="C"/>
    <s v="0003"/>
    <s v="00000076"/>
    <x v="102"/>
    <n v="27260306680"/>
    <s v="Honorarios Mucama P2024-09"/>
    <s v="ARS"/>
    <n v="1"/>
    <n v="432000"/>
    <n v="0"/>
    <n v="0"/>
    <n v="0"/>
    <n v="0"/>
    <n v="0"/>
    <n v="0"/>
    <n v="0"/>
    <n v="0"/>
    <n v="0"/>
    <n v="432000"/>
    <n v="432000"/>
    <n v="0"/>
    <x v="1"/>
    <m/>
    <d v="2024-10-17T00:00:00"/>
    <n v="432000"/>
    <m/>
    <m/>
    <m/>
    <m/>
    <m/>
    <n v="0"/>
    <m/>
    <m/>
  </r>
  <r>
    <x v="5"/>
    <d v="2024-10-15T00:00:00"/>
    <s v="FAC"/>
    <s v="C"/>
    <s v="0001"/>
    <s v="00000009"/>
    <x v="97"/>
    <n v="23386529744"/>
    <s v="Honorarios de Mucama UTI P2024-09"/>
    <s v="ARS"/>
    <n v="1"/>
    <n v="496000"/>
    <n v="0"/>
    <n v="0"/>
    <n v="0"/>
    <n v="0"/>
    <n v="0"/>
    <n v="0"/>
    <n v="0"/>
    <n v="0"/>
    <n v="0"/>
    <n v="496000"/>
    <n v="496000"/>
    <n v="0"/>
    <x v="1"/>
    <m/>
    <d v="2024-10-17T00:00:00"/>
    <n v="496000"/>
    <m/>
    <m/>
    <m/>
    <m/>
    <m/>
    <n v="0"/>
    <m/>
    <m/>
  </r>
  <r>
    <x v="5"/>
    <d v="2024-10-15T00:00:00"/>
    <s v="FAC"/>
    <s v="C"/>
    <s v="0001"/>
    <s v="00000015"/>
    <x v="90"/>
    <n v="27386533550"/>
    <s v="Honorarios de Mucama UTI P2024-09"/>
    <s v="ARS"/>
    <n v="1"/>
    <n v="496000"/>
    <n v="0"/>
    <n v="0"/>
    <n v="0"/>
    <n v="0"/>
    <n v="0"/>
    <n v="0"/>
    <n v="0"/>
    <n v="0"/>
    <n v="0"/>
    <n v="496000"/>
    <n v="496000"/>
    <n v="0"/>
    <x v="1"/>
    <m/>
    <d v="2024-10-17T00:00:00"/>
    <n v="496000"/>
    <m/>
    <m/>
    <m/>
    <m/>
    <m/>
    <n v="0"/>
    <m/>
    <m/>
  </r>
  <r>
    <x v="5"/>
    <d v="2024-10-15T00:00:00"/>
    <s v="FAC"/>
    <s v="C"/>
    <s v="0001"/>
    <s v="00000057"/>
    <x v="124"/>
    <n v="27422057906"/>
    <s v="Servicio Mucama de quirofano P2024-09"/>
    <s v="ARS"/>
    <n v="1"/>
    <n v="90000"/>
    <n v="0"/>
    <n v="0"/>
    <n v="0"/>
    <n v="0"/>
    <n v="0"/>
    <n v="0"/>
    <n v="0"/>
    <n v="0"/>
    <n v="0"/>
    <n v="90000"/>
    <n v="90000"/>
    <n v="0"/>
    <x v="1"/>
    <m/>
    <d v="2024-10-17T00:00:00"/>
    <n v="90000"/>
    <m/>
    <m/>
    <m/>
    <m/>
    <m/>
    <n v="0"/>
    <m/>
    <m/>
  </r>
  <r>
    <x v="5"/>
    <d v="2024-10-15T00:00:00"/>
    <s v="FAC"/>
    <s v="C"/>
    <s v="0002"/>
    <s v="00000223"/>
    <x v="82"/>
    <n v="27328052887"/>
    <s v="Honorarios Reemplazo Rayos"/>
    <s v="ARS"/>
    <n v="1"/>
    <n v="100000"/>
    <n v="0"/>
    <n v="0"/>
    <n v="0"/>
    <n v="0"/>
    <n v="0"/>
    <n v="0"/>
    <n v="0"/>
    <n v="0"/>
    <n v="0"/>
    <n v="100000"/>
    <n v="100000"/>
    <n v="0"/>
    <x v="0"/>
    <m/>
    <m/>
    <m/>
    <m/>
    <m/>
    <m/>
    <m/>
    <m/>
    <m/>
    <m/>
    <m/>
  </r>
  <r>
    <x v="5"/>
    <d v="2024-10-15T00:00:00"/>
    <s v="N/D"/>
    <s v="A"/>
    <s v="0002"/>
    <s v="00000134"/>
    <x v="13"/>
    <n v="30629233144"/>
    <s v="Diferencia de Cambio Cuota 3° Ecografo"/>
    <s v="ARS"/>
    <n v="1"/>
    <n v="1095000"/>
    <n v="0"/>
    <n v="114975"/>
    <n v="0"/>
    <n v="0"/>
    <n v="0"/>
    <n v="0"/>
    <n v="0"/>
    <n v="0"/>
    <n v="114975"/>
    <n v="1209975"/>
    <n v="1209975"/>
    <n v="21900"/>
    <x v="1"/>
    <m/>
    <d v="2024-10-24T00:00:00"/>
    <n v="1188075"/>
    <m/>
    <m/>
    <m/>
    <m/>
    <m/>
    <n v="0"/>
    <m/>
    <m/>
  </r>
  <r>
    <x v="5"/>
    <d v="2024-10-15T00:00:00"/>
    <s v="FAC"/>
    <s v="A"/>
    <s v="0002"/>
    <s v="00016179"/>
    <x v="2"/>
    <n v="20203998091"/>
    <s v="Insumos de Farmacia"/>
    <s v="ARS"/>
    <n v="1"/>
    <n v="0"/>
    <n v="0"/>
    <n v="0"/>
    <n v="0"/>
    <n v="0"/>
    <n v="820000"/>
    <n v="0"/>
    <n v="0"/>
    <n v="0"/>
    <n v="0"/>
    <n v="820000"/>
    <n v="820000"/>
    <m/>
    <x v="0"/>
    <m/>
    <m/>
    <m/>
    <m/>
    <m/>
    <m/>
    <m/>
    <m/>
    <m/>
    <m/>
    <m/>
  </r>
  <r>
    <x v="5"/>
    <d v="2024-10-15T00:00:00"/>
    <s v="FAC"/>
    <s v="A"/>
    <s v="0004"/>
    <s v="00000699"/>
    <x v="28"/>
    <n v="20138455654"/>
    <s v="Toner Alternativo"/>
    <s v="ARS"/>
    <n v="1"/>
    <n v="5537.19"/>
    <n v="1162.8099"/>
    <n v="0"/>
    <n v="0"/>
    <n v="0"/>
    <n v="0"/>
    <n v="0"/>
    <n v="0"/>
    <n v="0"/>
    <n v="1162.8099"/>
    <n v="6699.9998999999998"/>
    <n v="6699.9998999999998"/>
    <n v="0"/>
    <x v="1"/>
    <m/>
    <d v="2024-10-15T00:00:00"/>
    <n v="0"/>
    <m/>
    <m/>
    <m/>
    <m/>
    <m/>
    <n v="6699.9998999999998"/>
    <m/>
    <m/>
  </r>
  <r>
    <x v="5"/>
    <d v="2024-10-15T00:00:00"/>
    <s v="FAC"/>
    <s v="A"/>
    <s v="0029"/>
    <s v="00001108"/>
    <x v="96"/>
    <n v="33715472649"/>
    <s v="Bolsas de consorcio"/>
    <s v="ARS"/>
    <n v="1"/>
    <n v="21090.91"/>
    <n v="4429.0910999999996"/>
    <n v="0"/>
    <n v="0"/>
    <n v="0"/>
    <n v="0"/>
    <n v="0"/>
    <n v="759.27276000000006"/>
    <n v="0"/>
    <n v="4429.0910999999996"/>
    <n v="26279.273860000001"/>
    <n v="26279.273860000001"/>
    <n v="0"/>
    <x v="1"/>
    <m/>
    <d v="2024-10-15T00:00:00"/>
    <n v="0"/>
    <m/>
    <m/>
    <m/>
    <m/>
    <m/>
    <n v="26279.273860000001"/>
    <m/>
    <m/>
  </r>
  <r>
    <x v="5"/>
    <d v="2024-10-15T00:00:00"/>
    <s v="REC"/>
    <s v="X"/>
    <s v="0001"/>
    <s v="00000085"/>
    <x v="64"/>
    <n v="30111111111"/>
    <s v="Cadete"/>
    <s v="ARS"/>
    <n v="1"/>
    <n v="15000"/>
    <n v="0"/>
    <n v="0"/>
    <n v="0"/>
    <n v="0"/>
    <n v="0"/>
    <n v="0"/>
    <n v="0"/>
    <n v="0"/>
    <n v="0"/>
    <n v="15000"/>
    <n v="15000"/>
    <n v="0"/>
    <x v="1"/>
    <m/>
    <d v="2024-10-15T00:00:00"/>
    <n v="0"/>
    <m/>
    <m/>
    <m/>
    <m/>
    <m/>
    <n v="15000"/>
    <m/>
    <m/>
  </r>
  <r>
    <x v="5"/>
    <d v="2024-10-16T00:00:00"/>
    <s v="FAC"/>
    <s v="C"/>
    <s v="0001"/>
    <s v="00000002"/>
    <x v="147"/>
    <n v="20399039569"/>
    <s v="Honorarios Medicos Piso P2024-09"/>
    <s v="ARS"/>
    <n v="1"/>
    <n v="2118000"/>
    <n v="0"/>
    <n v="0"/>
    <n v="0"/>
    <n v="0"/>
    <n v="0"/>
    <n v="0"/>
    <n v="0"/>
    <n v="0"/>
    <n v="0"/>
    <n v="2118000"/>
    <n v="2118000"/>
    <n v="0"/>
    <x v="1"/>
    <m/>
    <d v="2024-10-16T00:00:00"/>
    <n v="2118000"/>
    <m/>
    <m/>
    <m/>
    <m/>
    <m/>
    <n v="0"/>
    <m/>
    <m/>
  </r>
  <r>
    <x v="5"/>
    <d v="2024-10-16T00:00:00"/>
    <s v="FAC"/>
    <s v="C"/>
    <s v="0001"/>
    <s v="00000483"/>
    <x v="148"/>
    <n v="27954100699"/>
    <s v="Honorarios Medicos UTI P2024-09"/>
    <s v="ARS"/>
    <n v="1"/>
    <n v="390000"/>
    <n v="0"/>
    <n v="0"/>
    <n v="0"/>
    <n v="0"/>
    <n v="0"/>
    <n v="0"/>
    <n v="0"/>
    <n v="0"/>
    <n v="0"/>
    <n v="390000"/>
    <n v="390000"/>
    <n v="0"/>
    <x v="1"/>
    <m/>
    <d v="2024-10-16T00:00:00"/>
    <n v="390000"/>
    <m/>
    <m/>
    <m/>
    <m/>
    <m/>
    <n v="0"/>
    <m/>
    <m/>
  </r>
  <r>
    <x v="5"/>
    <d v="2024-10-16T00:00:00"/>
    <s v="FAC"/>
    <s v="C"/>
    <s v="0002"/>
    <s v="00000001"/>
    <x v="73"/>
    <n v="20952983106"/>
    <s v="Honorarios Guardias Medicas UTI P2024-09"/>
    <s v="ARS"/>
    <n v="1"/>
    <n v="207600"/>
    <n v="0"/>
    <n v="0"/>
    <n v="0"/>
    <n v="0"/>
    <n v="0"/>
    <n v="0"/>
    <n v="0"/>
    <n v="0"/>
    <n v="0"/>
    <n v="207600"/>
    <n v="207600"/>
    <n v="0"/>
    <x v="1"/>
    <m/>
    <d v="2024-10-16T00:00:00"/>
    <n v="207600"/>
    <m/>
    <m/>
    <m/>
    <m/>
    <m/>
    <n v="0"/>
    <m/>
    <m/>
  </r>
  <r>
    <x v="5"/>
    <d v="2024-10-16T00:00:00"/>
    <s v="FAC"/>
    <s v="C"/>
    <s v="0001"/>
    <s v="00000012"/>
    <x v="54"/>
    <n v="20404673867"/>
    <s v="Honorarios Guardias Medicas Piso P2024-08"/>
    <s v="ARS"/>
    <n v="1"/>
    <n v="195600"/>
    <n v="0"/>
    <n v="0"/>
    <n v="0"/>
    <n v="0"/>
    <n v="0"/>
    <n v="0"/>
    <n v="0"/>
    <n v="0"/>
    <n v="0"/>
    <n v="195600"/>
    <n v="195600"/>
    <n v="0"/>
    <x v="1"/>
    <m/>
    <d v="2024-10-17T00:00:00"/>
    <n v="195600"/>
    <m/>
    <m/>
    <m/>
    <m/>
    <m/>
    <n v="0"/>
    <m/>
    <m/>
  </r>
  <r>
    <x v="5"/>
    <d v="2024-10-16T00:00:00"/>
    <s v="FAC"/>
    <s v="C"/>
    <s v="0001"/>
    <s v="00000008"/>
    <x v="104"/>
    <n v="27414097087"/>
    <s v="Servicio Enfermeria Piso P2024-09"/>
    <s v="ARS"/>
    <n v="1"/>
    <n v="48000"/>
    <n v="0"/>
    <n v="0"/>
    <n v="0"/>
    <n v="0"/>
    <n v="0"/>
    <n v="0"/>
    <n v="0"/>
    <n v="0"/>
    <n v="0"/>
    <n v="48000"/>
    <n v="48000"/>
    <n v="0"/>
    <x v="1"/>
    <m/>
    <d v="2024-10-17T00:00:00"/>
    <n v="48000"/>
    <m/>
    <m/>
    <m/>
    <m/>
    <m/>
    <n v="0"/>
    <m/>
    <m/>
  </r>
  <r>
    <x v="5"/>
    <d v="2024-10-16T00:00:00"/>
    <s v="FAC"/>
    <s v="C"/>
    <s v="0002"/>
    <s v="00000105"/>
    <x v="91"/>
    <n v="27330903908"/>
    <s v="Servicio Enfermeria Piso P2024-09"/>
    <s v="ARS"/>
    <n v="1"/>
    <n v="410400"/>
    <n v="0"/>
    <n v="0"/>
    <n v="0"/>
    <n v="0"/>
    <n v="0"/>
    <n v="0"/>
    <n v="0"/>
    <n v="0"/>
    <n v="0"/>
    <n v="410400"/>
    <n v="410400"/>
    <n v="0"/>
    <x v="1"/>
    <m/>
    <d v="2024-10-17T00:00:00"/>
    <n v="410400"/>
    <m/>
    <m/>
    <m/>
    <m/>
    <m/>
    <n v="0"/>
    <m/>
    <m/>
  </r>
  <r>
    <x v="5"/>
    <d v="2024-10-16T00:00:00"/>
    <s v="FAC"/>
    <s v="C"/>
    <s v="0002"/>
    <s v="00000036"/>
    <x v="88"/>
    <n v="23332501879"/>
    <s v="Servicio Enfermeria UTI P2024-09"/>
    <s v="ARS"/>
    <n v="1"/>
    <n v="448800"/>
    <n v="0"/>
    <n v="0"/>
    <n v="0"/>
    <n v="0"/>
    <n v="0"/>
    <n v="0"/>
    <n v="0"/>
    <n v="0"/>
    <n v="0"/>
    <n v="448800"/>
    <n v="448800"/>
    <n v="0"/>
    <x v="1"/>
    <m/>
    <d v="2024-10-17T00:00:00"/>
    <n v="448800"/>
    <m/>
    <m/>
    <m/>
    <m/>
    <m/>
    <n v="0"/>
    <m/>
    <m/>
  </r>
  <r>
    <x v="5"/>
    <d v="2024-10-16T00:00:00"/>
    <s v="FAC"/>
    <s v="C"/>
    <s v="0003"/>
    <s v="00000085"/>
    <x v="101"/>
    <n v="27386520599"/>
    <s v="Servicio Enfermeria UTI P2024-09"/>
    <s v="ARS"/>
    <n v="1"/>
    <n v="487200"/>
    <n v="0"/>
    <n v="0"/>
    <n v="0"/>
    <n v="0"/>
    <n v="0"/>
    <n v="0"/>
    <n v="0"/>
    <n v="0"/>
    <n v="0"/>
    <n v="487200"/>
    <n v="487200"/>
    <n v="0"/>
    <x v="1"/>
    <m/>
    <d v="2024-10-17T00:00:00"/>
    <n v="487200"/>
    <m/>
    <m/>
    <m/>
    <m/>
    <m/>
    <n v="0"/>
    <m/>
    <m/>
  </r>
  <r>
    <x v="5"/>
    <d v="2024-10-16T00:00:00"/>
    <s v="FAC"/>
    <s v="C"/>
    <s v="0002"/>
    <s v="00000008"/>
    <x v="95"/>
    <n v="27235843604"/>
    <s v="Servicio Enfermeria UTI P2024-09 (Arias Belen)"/>
    <s v="ARS"/>
    <n v="1"/>
    <n v="441600"/>
    <n v="0"/>
    <n v="0"/>
    <n v="0"/>
    <n v="0"/>
    <n v="0"/>
    <n v="0"/>
    <n v="0"/>
    <n v="0"/>
    <n v="0"/>
    <n v="441600"/>
    <n v="441600"/>
    <n v="0"/>
    <x v="1"/>
    <m/>
    <d v="2024-10-17T00:00:00"/>
    <n v="441600"/>
    <m/>
    <m/>
    <m/>
    <m/>
    <m/>
    <n v="0"/>
    <m/>
    <m/>
  </r>
  <r>
    <x v="5"/>
    <d v="2024-10-16T00:00:00"/>
    <s v="FAC"/>
    <s v="C"/>
    <s v="0001"/>
    <s v="00000005"/>
    <x v="103"/>
    <n v="20288248398"/>
    <s v="Honorarios por servicios Piso P2024-09 (Aramayo Angelica)"/>
    <s v="ARS"/>
    <n v="1"/>
    <n v="35200"/>
    <n v="0"/>
    <n v="0"/>
    <n v="0"/>
    <n v="0"/>
    <n v="0"/>
    <n v="0"/>
    <n v="0"/>
    <n v="0"/>
    <n v="0"/>
    <n v="35200"/>
    <n v="35200"/>
    <n v="0"/>
    <x v="1"/>
    <m/>
    <d v="2024-10-17T00:00:00"/>
    <n v="0"/>
    <m/>
    <m/>
    <m/>
    <m/>
    <m/>
    <n v="0"/>
    <m/>
    <m/>
  </r>
  <r>
    <x v="5"/>
    <d v="2024-10-16T00:00:00"/>
    <s v="N/C"/>
    <s v="C"/>
    <s v="0001"/>
    <s v="00000001"/>
    <x v="103"/>
    <n v="20288248398"/>
    <s v="Anula FC 5 y 6"/>
    <s v="ARS"/>
    <n v="1"/>
    <n v="-45600"/>
    <n v="0"/>
    <n v="0"/>
    <n v="0"/>
    <n v="0"/>
    <n v="0"/>
    <n v="0"/>
    <n v="0"/>
    <n v="0"/>
    <n v="0"/>
    <n v="-45600"/>
    <n v="-45600"/>
    <n v="0"/>
    <x v="1"/>
    <m/>
    <d v="2024-10-17T00:00:00"/>
    <n v="45600"/>
    <m/>
    <m/>
    <m/>
    <m/>
    <m/>
    <n v="0"/>
    <m/>
    <m/>
  </r>
  <r>
    <x v="5"/>
    <d v="2024-10-16T00:00:00"/>
    <s v="FAC"/>
    <s v="C"/>
    <s v="0001"/>
    <s v="00000075"/>
    <x v="109"/>
    <n v="27357831267"/>
    <s v="Servicio Enfermeria Piso P2024-09"/>
    <s v="ARS"/>
    <n v="1"/>
    <n v="120000"/>
    <n v="0"/>
    <n v="0"/>
    <n v="0"/>
    <n v="0"/>
    <n v="0"/>
    <n v="0"/>
    <n v="0"/>
    <n v="0"/>
    <n v="0"/>
    <n v="120000"/>
    <n v="120000"/>
    <n v="0"/>
    <x v="1"/>
    <m/>
    <d v="2024-10-17T00:00:00"/>
    <n v="120000"/>
    <m/>
    <m/>
    <m/>
    <m/>
    <m/>
    <n v="0"/>
    <m/>
    <m/>
  </r>
  <r>
    <x v="5"/>
    <d v="2024-10-16T00:00:00"/>
    <s v="FAC"/>
    <s v="C"/>
    <s v="0002"/>
    <s v="00000019"/>
    <x v="105"/>
    <n v="27382124184"/>
    <s v="Servicio Enfermeria UTI P2024-09"/>
    <s v="ARS"/>
    <n v="1"/>
    <n v="384000"/>
    <n v="0"/>
    <n v="0"/>
    <n v="0"/>
    <n v="0"/>
    <n v="0"/>
    <n v="0"/>
    <n v="0"/>
    <n v="0"/>
    <n v="0"/>
    <n v="384000"/>
    <n v="384000"/>
    <n v="0"/>
    <x v="1"/>
    <m/>
    <d v="2024-10-17T00:00:00"/>
    <n v="384000"/>
    <m/>
    <m/>
    <m/>
    <m/>
    <m/>
    <n v="0"/>
    <m/>
    <m/>
  </r>
  <r>
    <x v="5"/>
    <d v="2024-10-16T00:00:00"/>
    <s v="FAC"/>
    <s v="C"/>
    <s v="0002"/>
    <s v="00000082"/>
    <x v="100"/>
    <n v="27335929271"/>
    <s v="Servicio Enfermeria UTI P2024-09"/>
    <s v="ARS"/>
    <n v="1"/>
    <n v="475200"/>
    <n v="0"/>
    <n v="0"/>
    <n v="0"/>
    <n v="0"/>
    <n v="0"/>
    <n v="0"/>
    <n v="0"/>
    <n v="0"/>
    <n v="0"/>
    <n v="475200"/>
    <n v="475200"/>
    <n v="0"/>
    <x v="1"/>
    <m/>
    <d v="2024-10-17T00:00:00"/>
    <n v="475200"/>
    <m/>
    <m/>
    <m/>
    <m/>
    <m/>
    <n v="0"/>
    <m/>
    <m/>
  </r>
  <r>
    <x v="5"/>
    <d v="2024-10-16T00:00:00"/>
    <s v="FAC"/>
    <s v="C"/>
    <s v="0001"/>
    <s v="00000023"/>
    <x v="89"/>
    <n v="27346203647"/>
    <s v="Honorarios Enfermeria UTI P2024-09"/>
    <s v="ARS"/>
    <n v="1"/>
    <n v="409600"/>
    <n v="0"/>
    <n v="0"/>
    <n v="0"/>
    <n v="0"/>
    <n v="0"/>
    <n v="0"/>
    <n v="0"/>
    <n v="0"/>
    <n v="0"/>
    <n v="409600"/>
    <n v="409600"/>
    <n v="0"/>
    <x v="1"/>
    <m/>
    <d v="2024-10-18T00:00:00"/>
    <n v="0"/>
    <m/>
    <m/>
    <m/>
    <m/>
    <m/>
    <n v="0"/>
    <m/>
    <m/>
  </r>
  <r>
    <x v="5"/>
    <d v="2024-10-16T00:00:00"/>
    <s v="N/C"/>
    <s v="C"/>
    <s v="0001"/>
    <s v="00000002"/>
    <x v="89"/>
    <n v="27346203647"/>
    <s v="Anula FC 23 y 24"/>
    <s v="ARS"/>
    <n v="1"/>
    <n v="-528000"/>
    <n v="0"/>
    <n v="0"/>
    <n v="0"/>
    <n v="0"/>
    <n v="0"/>
    <n v="0"/>
    <n v="0"/>
    <n v="0"/>
    <n v="0"/>
    <n v="-528000"/>
    <n v="-528000"/>
    <n v="0"/>
    <x v="1"/>
    <m/>
    <d v="2024-10-18T00:00:00"/>
    <n v="528000"/>
    <m/>
    <m/>
    <m/>
    <m/>
    <m/>
    <n v="0"/>
    <m/>
    <m/>
  </r>
  <r>
    <x v="5"/>
    <d v="2024-10-16T00:00:00"/>
    <s v="TICKET"/>
    <s v="C"/>
    <s v="0001"/>
    <s v="00000058"/>
    <x v="107"/>
    <n v="27410953345"/>
    <s v="Servicio Enfermeria Piso P2024-09"/>
    <s v="ARS"/>
    <n v="1"/>
    <n v="92000"/>
    <n v="0"/>
    <n v="0"/>
    <n v="0"/>
    <n v="0"/>
    <n v="0"/>
    <n v="0"/>
    <n v="0"/>
    <n v="0"/>
    <n v="0"/>
    <n v="92000"/>
    <n v="92000"/>
    <n v="0"/>
    <x v="1"/>
    <m/>
    <d v="2024-10-16T00:00:00"/>
    <n v="0"/>
    <m/>
    <m/>
    <m/>
    <m/>
    <m/>
    <n v="0"/>
    <m/>
    <m/>
  </r>
  <r>
    <x v="5"/>
    <d v="2024-10-16T00:00:00"/>
    <s v="TICKET N/C"/>
    <s v="C"/>
    <s v="0001"/>
    <s v="00000001"/>
    <x v="107"/>
    <n v="27410953345"/>
    <s v="Anula FC 58"/>
    <s v="ARS"/>
    <n v="1"/>
    <n v="-92000"/>
    <n v="0"/>
    <n v="0"/>
    <n v="0"/>
    <n v="0"/>
    <n v="0"/>
    <n v="0"/>
    <n v="0"/>
    <n v="0"/>
    <n v="0"/>
    <n v="-92000"/>
    <n v="-92000"/>
    <n v="0"/>
    <x v="1"/>
    <m/>
    <d v="2024-10-16T00:00:00"/>
    <n v="0"/>
    <m/>
    <m/>
    <m/>
    <m/>
    <m/>
    <n v="0"/>
    <m/>
    <m/>
  </r>
  <r>
    <x v="5"/>
    <d v="2024-10-16T00:00:00"/>
    <s v="FAC"/>
    <s v="C"/>
    <s v="0003"/>
    <s v="00000084"/>
    <x v="101"/>
    <n v="27386520599"/>
    <s v="Servicio Enfermeria UTI P2024-09"/>
    <s v="ARS"/>
    <n v="1"/>
    <n v="377600"/>
    <n v="0"/>
    <n v="0"/>
    <n v="0"/>
    <n v="0"/>
    <n v="0"/>
    <n v="0"/>
    <n v="0"/>
    <n v="0"/>
    <n v="0"/>
    <n v="377600"/>
    <n v="377600"/>
    <n v="0"/>
    <x v="1"/>
    <m/>
    <d v="2024-10-16T00:00:00"/>
    <n v="0"/>
    <m/>
    <m/>
    <m/>
    <m/>
    <m/>
    <n v="0"/>
    <m/>
    <m/>
  </r>
  <r>
    <x v="5"/>
    <d v="2024-10-16T00:00:00"/>
    <s v="N/D"/>
    <s v="C"/>
    <s v="0003"/>
    <s v="00000001"/>
    <x v="101"/>
    <n v="27386520599"/>
    <s v="Anula FC 84"/>
    <s v="ARS"/>
    <n v="1"/>
    <n v="377600"/>
    <n v="0"/>
    <n v="0"/>
    <n v="0"/>
    <n v="0"/>
    <n v="0"/>
    <n v="0"/>
    <n v="0"/>
    <n v="0"/>
    <n v="0"/>
    <n v="377600"/>
    <n v="377600"/>
    <n v="0"/>
    <x v="1"/>
    <m/>
    <d v="2024-10-16T00:00:00"/>
    <n v="0"/>
    <m/>
    <m/>
    <m/>
    <m/>
    <m/>
    <n v="0"/>
    <m/>
    <m/>
  </r>
  <r>
    <x v="5"/>
    <d v="2024-10-16T00:00:00"/>
    <s v="FAC"/>
    <s v="C"/>
    <s v="0002"/>
    <s v="00000018"/>
    <x v="105"/>
    <n v="27382124184"/>
    <s v="Servicio Enfermeria UTI P2024-09"/>
    <s v="ARS"/>
    <n v="1"/>
    <n v="296800"/>
    <n v="0"/>
    <n v="0"/>
    <n v="0"/>
    <n v="0"/>
    <n v="0"/>
    <n v="0"/>
    <n v="0"/>
    <n v="0"/>
    <n v="0"/>
    <n v="296800"/>
    <n v="296800"/>
    <n v="0"/>
    <x v="1"/>
    <m/>
    <d v="2024-10-16T00:00:00"/>
    <n v="0"/>
    <m/>
    <m/>
    <m/>
    <m/>
    <m/>
    <n v="0"/>
    <m/>
    <m/>
  </r>
  <r>
    <x v="5"/>
    <d v="2024-10-16T00:00:00"/>
    <s v="N/C"/>
    <s v="C"/>
    <s v="0002"/>
    <s v="00000001"/>
    <x v="105"/>
    <n v="27382124184"/>
    <s v="Anula FC 18"/>
    <s v="ARS"/>
    <n v="1"/>
    <n v="-296800"/>
    <n v="0"/>
    <n v="0"/>
    <n v="0"/>
    <n v="0"/>
    <n v="0"/>
    <n v="0"/>
    <n v="0"/>
    <n v="0"/>
    <n v="0"/>
    <n v="-296800"/>
    <n v="-296800"/>
    <n v="0"/>
    <x v="1"/>
    <m/>
    <d v="2024-10-16T00:00:00"/>
    <n v="0"/>
    <m/>
    <m/>
    <m/>
    <m/>
    <m/>
    <n v="0"/>
    <m/>
    <m/>
  </r>
  <r>
    <x v="5"/>
    <d v="2024-10-16T00:00:00"/>
    <s v="FAC"/>
    <s v="X"/>
    <s v="0003"/>
    <s v="20241016"/>
    <x v="64"/>
    <n v="30111111111"/>
    <s v="Remis - Taxi"/>
    <s v="ARS"/>
    <n v="1"/>
    <n v="8500"/>
    <n v="0"/>
    <n v="0"/>
    <n v="0"/>
    <n v="0"/>
    <n v="0"/>
    <n v="0"/>
    <n v="0"/>
    <n v="0"/>
    <n v="0"/>
    <n v="8500"/>
    <n v="8500"/>
    <n v="0"/>
    <x v="1"/>
    <m/>
    <d v="2024-10-26T00:00:00"/>
    <n v="0"/>
    <m/>
    <m/>
    <m/>
    <m/>
    <m/>
    <n v="8500"/>
    <m/>
    <m/>
  </r>
  <r>
    <x v="5"/>
    <d v="2024-10-16T00:00:00"/>
    <s v="REC"/>
    <s v="X"/>
    <s v="0001"/>
    <s v="00000081"/>
    <x v="64"/>
    <n v="30111111111"/>
    <s v="Cadete"/>
    <s v="ARS"/>
    <n v="1"/>
    <n v="3000"/>
    <n v="0"/>
    <n v="0"/>
    <n v="0"/>
    <n v="0"/>
    <n v="0"/>
    <n v="0"/>
    <n v="0"/>
    <n v="0"/>
    <n v="0"/>
    <n v="3000"/>
    <n v="3000"/>
    <n v="0"/>
    <x v="1"/>
    <m/>
    <d v="2024-10-16T00:00:00"/>
    <n v="0"/>
    <m/>
    <m/>
    <m/>
    <m/>
    <m/>
    <n v="3000"/>
    <m/>
    <m/>
  </r>
  <r>
    <x v="5"/>
    <d v="2024-10-16T00:00:00"/>
    <s v="FAC"/>
    <s v="A"/>
    <s v="0004"/>
    <s v="00000700"/>
    <x v="28"/>
    <n v="20138455654"/>
    <s v="Toner Alternativo"/>
    <s v="ARS"/>
    <n v="1"/>
    <n v="5537.19"/>
    <n v="1162.8099"/>
    <n v="0"/>
    <n v="0"/>
    <n v="0"/>
    <n v="0"/>
    <n v="0"/>
    <n v="0"/>
    <n v="0"/>
    <n v="1162.8099"/>
    <n v="6699.9998999999998"/>
    <n v="6699.9998999999998"/>
    <n v="0"/>
    <x v="1"/>
    <m/>
    <d v="2024-10-16T00:00:00"/>
    <n v="0"/>
    <m/>
    <m/>
    <m/>
    <m/>
    <m/>
    <n v="6699.9998999999998"/>
    <m/>
    <m/>
  </r>
  <r>
    <x v="5"/>
    <d v="2024-10-16T00:00:00"/>
    <s v="FAC"/>
    <s v="A"/>
    <s v="0068"/>
    <s v="00014196"/>
    <x v="42"/>
    <n v="30583516790"/>
    <s v="Insumos de Librería"/>
    <s v="ARS"/>
    <n v="1"/>
    <n v="9249.8799999999992"/>
    <n v="1942.4747999999997"/>
    <n v="0"/>
    <n v="0"/>
    <n v="0"/>
    <n v="0"/>
    <n v="0"/>
    <n v="0"/>
    <n v="0"/>
    <n v="1942.4747999999997"/>
    <n v="11192.354799999999"/>
    <n v="11192.354799999999"/>
    <n v="0"/>
    <x v="1"/>
    <m/>
    <d v="2024-10-16T00:00:00"/>
    <n v="0"/>
    <m/>
    <m/>
    <m/>
    <m/>
    <m/>
    <n v="11192.354799999999"/>
    <m/>
    <m/>
  </r>
  <r>
    <x v="5"/>
    <d v="2024-10-16T00:00:00"/>
    <s v="FAC"/>
    <s v="C"/>
    <s v="0002"/>
    <s v="00000018"/>
    <x v="149"/>
    <n v="20258842244"/>
    <s v="Confeccion de silla de ruedas"/>
    <s v="ARS"/>
    <n v="1"/>
    <n v="35000"/>
    <n v="0"/>
    <n v="0"/>
    <n v="0"/>
    <n v="0"/>
    <n v="0"/>
    <n v="0"/>
    <n v="0"/>
    <n v="0"/>
    <n v="0"/>
    <n v="35000"/>
    <n v="35000"/>
    <n v="0"/>
    <x v="1"/>
    <m/>
    <d v="2024-10-16T00:00:00"/>
    <n v="0"/>
    <m/>
    <m/>
    <m/>
    <m/>
    <m/>
    <n v="35000"/>
    <m/>
    <m/>
  </r>
  <r>
    <x v="5"/>
    <d v="2024-10-17T00:00:00"/>
    <s v="TICKET"/>
    <s v="C"/>
    <s v="0001"/>
    <s v="00000005"/>
    <x v="110"/>
    <n v="27373720904"/>
    <s v="Servicio de instrumentación quirofano P2024-09 (Velazco Melisa)"/>
    <s v="ARS"/>
    <n v="1"/>
    <n v="129200"/>
    <n v="0"/>
    <n v="0"/>
    <n v="0"/>
    <n v="0"/>
    <n v="0"/>
    <n v="0"/>
    <n v="0"/>
    <n v="0"/>
    <n v="0"/>
    <n v="129200"/>
    <n v="129200"/>
    <n v="0"/>
    <x v="1"/>
    <m/>
    <d v="2024-10-17T00:00:00"/>
    <n v="129200"/>
    <m/>
    <m/>
    <m/>
    <m/>
    <m/>
    <n v="0"/>
    <m/>
    <m/>
  </r>
  <r>
    <x v="5"/>
    <d v="2024-10-17T00:00:00"/>
    <s v="TICKET"/>
    <s v="C"/>
    <s v="0001"/>
    <s v="00000060"/>
    <x v="107"/>
    <n v="27410953345"/>
    <s v="Servicio Enfermeria Piso P2024-09 (Ivana Gonzales)"/>
    <s v="ARS"/>
    <n v="1"/>
    <n v="132000"/>
    <n v="0"/>
    <n v="0"/>
    <n v="0"/>
    <n v="0"/>
    <n v="0"/>
    <n v="0"/>
    <n v="0"/>
    <n v="0"/>
    <n v="0"/>
    <n v="132000"/>
    <n v="132000"/>
    <n v="0"/>
    <x v="1"/>
    <m/>
    <d v="2024-10-17T00:00:00"/>
    <n v="132000"/>
    <m/>
    <m/>
    <m/>
    <m/>
    <m/>
    <n v="0"/>
    <m/>
    <m/>
  </r>
  <r>
    <x v="5"/>
    <d v="2024-10-17T00:00:00"/>
    <s v="TICKET"/>
    <s v="C"/>
    <s v="0001"/>
    <s v="00000059"/>
    <x v="107"/>
    <n v="27410953345"/>
    <s v="Servicio Enfermeria Piso P2024-09"/>
    <s v="ARS"/>
    <n v="1"/>
    <n v="120000"/>
    <n v="0"/>
    <n v="0"/>
    <n v="0"/>
    <n v="0"/>
    <n v="0"/>
    <n v="0"/>
    <n v="0"/>
    <n v="0"/>
    <n v="0"/>
    <n v="120000"/>
    <n v="120000"/>
    <n v="0"/>
    <x v="1"/>
    <m/>
    <d v="2024-10-17T00:00:00"/>
    <n v="120000"/>
    <m/>
    <m/>
    <m/>
    <m/>
    <m/>
    <n v="0"/>
    <m/>
    <m/>
  </r>
  <r>
    <x v="5"/>
    <d v="2024-10-17T00:00:00"/>
    <s v="FAC"/>
    <s v="C"/>
    <s v="0002"/>
    <s v="00000179"/>
    <x v="118"/>
    <n v="27261538046"/>
    <s v="Servicio Enfermeria Piso P2024-09"/>
    <s v="ARS"/>
    <n v="1"/>
    <n v="72000"/>
    <n v="0"/>
    <n v="0"/>
    <n v="0"/>
    <n v="0"/>
    <n v="0"/>
    <n v="0"/>
    <n v="0"/>
    <n v="0"/>
    <n v="0"/>
    <n v="72000"/>
    <n v="72000"/>
    <n v="0"/>
    <x v="1"/>
    <m/>
    <d v="2024-10-17T00:00:00"/>
    <n v="72000"/>
    <m/>
    <m/>
    <m/>
    <m/>
    <m/>
    <n v="0"/>
    <m/>
    <m/>
  </r>
  <r>
    <x v="5"/>
    <d v="2024-10-17T00:00:00"/>
    <s v="FAC"/>
    <s v="C"/>
    <s v="0002"/>
    <s v="00000051"/>
    <x v="99"/>
    <n v="23286334334"/>
    <s v="Honorarios Servicio Enfermeria P2024-09"/>
    <s v="ARS"/>
    <n v="1"/>
    <n v="326400"/>
    <n v="0"/>
    <n v="0"/>
    <n v="0"/>
    <n v="0"/>
    <n v="0"/>
    <n v="0"/>
    <n v="0"/>
    <n v="0"/>
    <n v="0"/>
    <n v="326400"/>
    <n v="326400"/>
    <n v="0"/>
    <x v="1"/>
    <m/>
    <d v="2024-10-17T00:00:00"/>
    <n v="326400"/>
    <m/>
    <m/>
    <m/>
    <m/>
    <m/>
    <n v="0"/>
    <m/>
    <m/>
  </r>
  <r>
    <x v="5"/>
    <d v="2024-10-17T00:00:00"/>
    <s v="FAC"/>
    <s v="C"/>
    <s v="0003"/>
    <s v="00000102"/>
    <x v="16"/>
    <n v="20306364945"/>
    <s v="Servicios y ventas de Insumos medicos Agosto 2024"/>
    <s v="ARS"/>
    <n v="1"/>
    <n v="4165000"/>
    <n v="0"/>
    <n v="0"/>
    <n v="0"/>
    <n v="0"/>
    <n v="0"/>
    <n v="0"/>
    <n v="0"/>
    <n v="0"/>
    <n v="0"/>
    <n v="4165000"/>
    <n v="4165000"/>
    <n v="0"/>
    <x v="1"/>
    <m/>
    <d v="2024-10-22T00:00:00"/>
    <n v="4165000"/>
    <m/>
    <m/>
    <m/>
    <m/>
    <m/>
    <m/>
    <m/>
    <s v="CH al dia y 30"/>
  </r>
  <r>
    <x v="5"/>
    <d v="2024-10-17T00:00:00"/>
    <s v="FAC"/>
    <s v="C"/>
    <s v="0001"/>
    <s v="00000006"/>
    <x v="103"/>
    <n v="20288248398"/>
    <s v="Honorarios por servicios Piso P2024-09 (Aramayo Angelica)"/>
    <s v="ARS"/>
    <n v="1"/>
    <n v="10400"/>
    <n v="0"/>
    <n v="0"/>
    <n v="0"/>
    <n v="0"/>
    <n v="0"/>
    <n v="0"/>
    <n v="0"/>
    <n v="0"/>
    <n v="0"/>
    <n v="10400"/>
    <n v="10400"/>
    <n v="0"/>
    <x v="1"/>
    <m/>
    <d v="2024-10-17T00:00:00"/>
    <n v="0"/>
    <m/>
    <m/>
    <m/>
    <m/>
    <m/>
    <n v="0"/>
    <m/>
    <m/>
  </r>
  <r>
    <x v="5"/>
    <d v="2024-10-17T00:00:00"/>
    <s v="FAC"/>
    <s v="C"/>
    <s v="0001"/>
    <s v="00000055"/>
    <x v="150"/>
    <n v="23373034894"/>
    <s v="Servicios de Quirofano, instrumentación P2024-09 (Guari Tania)"/>
    <s v="ARS"/>
    <n v="1"/>
    <n v="281100"/>
    <n v="0"/>
    <n v="0"/>
    <n v="0"/>
    <n v="0"/>
    <n v="0"/>
    <n v="0"/>
    <n v="0"/>
    <n v="0"/>
    <n v="0"/>
    <n v="281100"/>
    <n v="281100"/>
    <n v="0"/>
    <x v="1"/>
    <m/>
    <d v="2024-10-17T00:00:00"/>
    <n v="281100"/>
    <m/>
    <m/>
    <m/>
    <m/>
    <m/>
    <n v="0"/>
    <m/>
    <m/>
  </r>
  <r>
    <x v="5"/>
    <d v="2024-10-17T00:00:00"/>
    <s v="FAC"/>
    <s v="C"/>
    <s v="0001"/>
    <s v="00000048"/>
    <x v="108"/>
    <n v="27376021829"/>
    <s v="Servicio de instrumentación quirofano P2024-09"/>
    <s v="ARS"/>
    <n v="1"/>
    <n v="398900"/>
    <n v="0"/>
    <n v="0"/>
    <n v="0"/>
    <n v="0"/>
    <n v="0"/>
    <n v="0"/>
    <n v="0"/>
    <n v="0"/>
    <n v="0"/>
    <n v="398900"/>
    <n v="398900"/>
    <n v="0"/>
    <x v="1"/>
    <m/>
    <d v="2024-10-18T00:00:00"/>
    <n v="398900"/>
    <m/>
    <m/>
    <m/>
    <m/>
    <m/>
    <n v="0"/>
    <m/>
    <m/>
  </r>
  <r>
    <x v="5"/>
    <d v="2024-10-17T00:00:00"/>
    <s v="FAC"/>
    <s v="A"/>
    <s v="0001"/>
    <s v="00000029"/>
    <x v="128"/>
    <n v="27339701712"/>
    <s v="Honorarios Guardias Medicas P2024-09 (Dr. Diaz Martinez)"/>
    <s v="ARS"/>
    <n v="1"/>
    <n v="714000"/>
    <n v="0"/>
    <n v="0"/>
    <n v="0"/>
    <n v="0"/>
    <n v="0"/>
    <n v="0"/>
    <n v="0"/>
    <n v="0"/>
    <n v="0"/>
    <n v="714000"/>
    <n v="714000"/>
    <n v="0"/>
    <x v="1"/>
    <m/>
    <d v="2024-10-18T00:00:00"/>
    <n v="714000"/>
    <m/>
    <m/>
    <m/>
    <m/>
    <m/>
    <n v="0"/>
    <m/>
    <m/>
  </r>
  <r>
    <x v="5"/>
    <d v="2024-10-17T00:00:00"/>
    <s v="FAC"/>
    <s v="C"/>
    <s v="0001"/>
    <s v="00000037"/>
    <x v="106"/>
    <n v="23339846324"/>
    <s v="Servicio Enfermeria UTI P2024-09"/>
    <s v="ARS"/>
    <n v="1"/>
    <n v="168000"/>
    <n v="0"/>
    <n v="0"/>
    <n v="0"/>
    <n v="0"/>
    <n v="0"/>
    <n v="0"/>
    <n v="0"/>
    <n v="0"/>
    <n v="0"/>
    <n v="168000"/>
    <n v="168000"/>
    <n v="0"/>
    <x v="1"/>
    <m/>
    <d v="2024-10-18T00:00:00"/>
    <n v="168000"/>
    <m/>
    <m/>
    <m/>
    <m/>
    <m/>
    <n v="0"/>
    <m/>
    <m/>
  </r>
  <r>
    <x v="5"/>
    <d v="2024-10-17T00:00:00"/>
    <s v="FAC"/>
    <s v="C"/>
    <s v="0001"/>
    <s v="00000024"/>
    <x v="89"/>
    <n v="27346203647"/>
    <s v="Honorarios Enfermeria UTI P2024-09"/>
    <s v="ARS"/>
    <n v="1"/>
    <n v="118400"/>
    <n v="0"/>
    <n v="0"/>
    <n v="0"/>
    <n v="0"/>
    <n v="0"/>
    <n v="0"/>
    <n v="0"/>
    <n v="0"/>
    <n v="0"/>
    <n v="118400"/>
    <n v="118400"/>
    <n v="0"/>
    <x v="1"/>
    <m/>
    <d v="2024-10-18T00:00:00"/>
    <n v="0"/>
    <m/>
    <m/>
    <m/>
    <m/>
    <m/>
    <n v="0"/>
    <m/>
    <m/>
  </r>
  <r>
    <x v="5"/>
    <d v="2024-10-17T00:00:00"/>
    <s v="FAC"/>
    <s v="C"/>
    <s v="0001"/>
    <s v="00000003"/>
    <x v="147"/>
    <n v="20399039569"/>
    <s v="Honorarios Medicos UTI P2024-09"/>
    <s v="ARS"/>
    <n v="1"/>
    <n v="201600"/>
    <n v="0"/>
    <n v="0"/>
    <n v="0"/>
    <n v="0"/>
    <n v="0"/>
    <n v="0"/>
    <n v="0"/>
    <n v="0"/>
    <n v="0"/>
    <n v="201600"/>
    <n v="201600"/>
    <n v="0"/>
    <x v="1"/>
    <m/>
    <d v="2024-10-18T00:00:00"/>
    <n v="201600"/>
    <m/>
    <m/>
    <m/>
    <m/>
    <m/>
    <n v="0"/>
    <m/>
    <m/>
  </r>
  <r>
    <x v="5"/>
    <d v="2024-10-17T00:00:00"/>
    <s v="FAC"/>
    <s v="A"/>
    <s v="0003"/>
    <s v="00028536"/>
    <x v="113"/>
    <n v="30710657315"/>
    <s v="Insumos de Farmacia"/>
    <s v="ARS"/>
    <n v="1"/>
    <n v="0"/>
    <n v="0"/>
    <n v="0"/>
    <n v="0"/>
    <n v="0"/>
    <n v="360000"/>
    <n v="0"/>
    <n v="0"/>
    <n v="0"/>
    <n v="0"/>
    <n v="360000"/>
    <n v="357280"/>
    <n v="2720"/>
    <x v="1"/>
    <s v="vencida"/>
    <d v="2024-12-06T00:00:00"/>
    <n v="428685.64529999997"/>
    <m/>
    <m/>
    <m/>
    <m/>
    <m/>
    <m/>
    <m/>
    <m/>
  </r>
  <r>
    <x v="5"/>
    <d v="2024-10-17T00:00:00"/>
    <s v="FAC"/>
    <s v="A"/>
    <s v="0002"/>
    <s v="00003329"/>
    <x v="43"/>
    <n v="30712291237"/>
    <s v="Equipo de cirugia Mayor esteril descartable"/>
    <s v="ARS"/>
    <n v="1"/>
    <n v="288660"/>
    <n v="60618.6"/>
    <n v="0"/>
    <n v="0"/>
    <n v="0"/>
    <n v="0"/>
    <n v="0"/>
    <n v="0"/>
    <n v="0"/>
    <n v="60618.6"/>
    <n v="349278.6"/>
    <n v="349278.6"/>
    <n v="1293.2"/>
    <x v="1"/>
    <m/>
    <d v="2024-11-27T00:00:00"/>
    <n v="347985.39999999997"/>
    <m/>
    <m/>
    <m/>
    <m/>
    <m/>
    <n v="0"/>
    <m/>
    <m/>
  </r>
  <r>
    <x v="5"/>
    <d v="2024-10-18T00:00:00"/>
    <s v="FAC"/>
    <s v="C"/>
    <s v="0001"/>
    <s v="00000023"/>
    <x v="116"/>
    <n v="23375110199"/>
    <s v="Servicios Radiología P2024-09"/>
    <s v="ARS"/>
    <n v="1"/>
    <n v="230000"/>
    <n v="0"/>
    <n v="0"/>
    <n v="0"/>
    <n v="0"/>
    <n v="0"/>
    <n v="0"/>
    <n v="0"/>
    <n v="0"/>
    <n v="0"/>
    <n v="230000"/>
    <n v="230000"/>
    <n v="0"/>
    <x v="1"/>
    <m/>
    <d v="2024-10-18T00:00:00"/>
    <n v="230000"/>
    <m/>
    <m/>
    <m/>
    <m/>
    <m/>
    <n v="0"/>
    <m/>
    <m/>
  </r>
  <r>
    <x v="5"/>
    <d v="2024-10-18T00:00:00"/>
    <s v="FAC"/>
    <s v="C"/>
    <s v="0002"/>
    <s v="00000123"/>
    <x v="119"/>
    <n v="27432189045"/>
    <s v="Honorarios Profesionales P2024-09 (Lopez Natalia Marcela)"/>
    <s v="ARS"/>
    <n v="1"/>
    <n v="280000"/>
    <n v="0"/>
    <n v="0"/>
    <n v="0"/>
    <n v="0"/>
    <n v="0"/>
    <n v="0"/>
    <n v="0"/>
    <n v="0"/>
    <n v="0"/>
    <n v="280000"/>
    <n v="280000"/>
    <n v="0"/>
    <x v="1"/>
    <m/>
    <d v="2024-10-18T00:00:00"/>
    <n v="280000"/>
    <m/>
    <m/>
    <m/>
    <m/>
    <m/>
    <n v="0"/>
    <m/>
    <m/>
  </r>
  <r>
    <x v="5"/>
    <d v="2024-10-18T00:00:00"/>
    <s v="FAC"/>
    <s v="C"/>
    <s v="0002"/>
    <s v="00000009"/>
    <x v="151"/>
    <n v="27434393774"/>
    <s v="Servicio Enfermeria Piso P2024-09 (Barrios Valeria Vanesa)"/>
    <s v="ARS"/>
    <n v="1"/>
    <n v="24000"/>
    <n v="0"/>
    <n v="0"/>
    <n v="0"/>
    <n v="0"/>
    <n v="0"/>
    <n v="0"/>
    <n v="0"/>
    <n v="0"/>
    <n v="0"/>
    <n v="24000"/>
    <n v="24000"/>
    <n v="0"/>
    <x v="1"/>
    <m/>
    <d v="2024-10-18T00:00:00"/>
    <n v="24000"/>
    <m/>
    <m/>
    <m/>
    <m/>
    <m/>
    <n v="0"/>
    <m/>
    <m/>
  </r>
  <r>
    <x v="5"/>
    <d v="2024-10-18T00:00:00"/>
    <s v="FAC"/>
    <s v="A"/>
    <s v="0003"/>
    <s v="00006459"/>
    <x v="22"/>
    <n v="33716385359"/>
    <s v="Insumos de Farmacia"/>
    <s v="ARS"/>
    <n v="1"/>
    <n v="280720"/>
    <n v="58951.199999999997"/>
    <n v="0"/>
    <n v="0"/>
    <n v="0"/>
    <n v="258000"/>
    <n v="0"/>
    <n v="19393.920000000002"/>
    <m/>
    <n v="58951.199999999997"/>
    <n v="617065.12"/>
    <n v="617065.12"/>
    <m/>
    <x v="1"/>
    <m/>
    <d v="2024-11-14T00:00:00"/>
    <m/>
    <m/>
    <m/>
    <m/>
    <m/>
    <m/>
    <m/>
    <m/>
    <s v="CH 30 y 60"/>
  </r>
  <r>
    <x v="5"/>
    <d v="2024-10-18T00:00:00"/>
    <s v="FAC"/>
    <s v="A"/>
    <s v="0008"/>
    <s v="00028983"/>
    <x v="55"/>
    <n v="27172337568"/>
    <s v="Insumos de Librería"/>
    <s v="ARS"/>
    <n v="1"/>
    <n v="9846.07"/>
    <n v="2067.6747"/>
    <n v="0"/>
    <n v="0"/>
    <n v="0"/>
    <n v="0"/>
    <n v="0"/>
    <n v="0"/>
    <n v="0"/>
    <n v="2067.6747"/>
    <n v="11913.744699999999"/>
    <n v="11913.744699999999"/>
    <n v="0"/>
    <x v="1"/>
    <m/>
    <d v="2024-10-18T00:00:00"/>
    <n v="0"/>
    <m/>
    <m/>
    <m/>
    <m/>
    <m/>
    <n v="11913.744699999999"/>
    <m/>
    <m/>
  </r>
  <r>
    <x v="5"/>
    <d v="2024-10-18T00:00:00"/>
    <s v="FAC"/>
    <s v="A"/>
    <s v="0172"/>
    <s v="00013399"/>
    <x v="20"/>
    <n v="30673770483"/>
    <s v="Mercadería para oficina"/>
    <s v="ARS"/>
    <n v="1"/>
    <n v="9951.07"/>
    <n v="2089.7246999999998"/>
    <n v="0"/>
    <n v="0"/>
    <n v="0"/>
    <n v="0"/>
    <n v="0"/>
    <n v="358.23852000000005"/>
    <n v="0"/>
    <n v="2089.7246999999998"/>
    <n v="12399.033219999999"/>
    <n v="12399.033219999999"/>
    <n v="0"/>
    <x v="1"/>
    <m/>
    <d v="2024-10-18T00:00:00"/>
    <n v="0"/>
    <m/>
    <m/>
    <m/>
    <m/>
    <m/>
    <n v="12399.033219999999"/>
    <m/>
    <m/>
  </r>
  <r>
    <x v="5"/>
    <d v="2024-10-18T00:00:00"/>
    <s v="FAC"/>
    <s v="A"/>
    <s v="0125"/>
    <s v="00000169"/>
    <x v="126"/>
    <n v="30711230862"/>
    <s v="Mercadería para oficina"/>
    <s v="ARS"/>
    <n v="1"/>
    <n v="19005.2"/>
    <n v="3991.0920000000001"/>
    <n v="0"/>
    <n v="0"/>
    <n v="0"/>
    <n v="0"/>
    <n v="0"/>
    <n v="684.18720000000008"/>
    <n v="0"/>
    <n v="3991.0920000000001"/>
    <n v="23680.479200000002"/>
    <n v="23680.479200000002"/>
    <n v="0"/>
    <x v="1"/>
    <m/>
    <d v="2024-10-18T00:00:00"/>
    <n v="0"/>
    <m/>
    <m/>
    <m/>
    <m/>
    <m/>
    <n v="23680.479200000002"/>
    <m/>
    <m/>
  </r>
  <r>
    <x v="5"/>
    <d v="2024-10-18T00:00:00"/>
    <s v="FAC"/>
    <s v="B"/>
    <s v="0009"/>
    <s v="00013797"/>
    <x v="152"/>
    <n v="20311306309"/>
    <s v="Insumos de electricidad"/>
    <s v="ARS"/>
    <n v="1"/>
    <n v="1100"/>
    <n v="0"/>
    <n v="0"/>
    <n v="0"/>
    <n v="0"/>
    <n v="0"/>
    <n v="0"/>
    <n v="0"/>
    <n v="0"/>
    <n v="0"/>
    <n v="1100"/>
    <n v="1100"/>
    <n v="0"/>
    <x v="1"/>
    <m/>
    <d v="2024-10-18T00:00:00"/>
    <n v="0"/>
    <m/>
    <m/>
    <m/>
    <m/>
    <m/>
    <n v="1100"/>
    <m/>
    <m/>
  </r>
  <r>
    <x v="5"/>
    <d v="2024-10-18T00:00:00"/>
    <s v="FAC"/>
    <s v="B"/>
    <s v="0009"/>
    <s v="00013796"/>
    <x v="152"/>
    <n v="20311306309"/>
    <s v="Insumos de electricidad"/>
    <s v="ARS"/>
    <n v="1"/>
    <n v="3800"/>
    <n v="0"/>
    <n v="0"/>
    <n v="0"/>
    <n v="0"/>
    <n v="0"/>
    <n v="0"/>
    <n v="0"/>
    <n v="0"/>
    <n v="0"/>
    <n v="3800"/>
    <n v="3800"/>
    <n v="0"/>
    <x v="1"/>
    <m/>
    <d v="2024-10-18T00:00:00"/>
    <n v="0"/>
    <m/>
    <m/>
    <m/>
    <m/>
    <m/>
    <n v="3800"/>
    <m/>
    <m/>
  </r>
  <r>
    <x v="5"/>
    <d v="2024-10-21T00:00:00"/>
    <s v="FAC"/>
    <s v="C"/>
    <s v="0002"/>
    <s v="00000160"/>
    <x v="94"/>
    <n v="20286349162"/>
    <s v="Honorarios abogado"/>
    <s v="ARS"/>
    <n v="1"/>
    <n v="200000"/>
    <n v="0"/>
    <n v="0"/>
    <n v="0"/>
    <n v="0"/>
    <n v="0"/>
    <n v="0"/>
    <n v="0"/>
    <n v="0"/>
    <n v="0"/>
    <n v="200000"/>
    <n v="200000"/>
    <n v="0"/>
    <x v="1"/>
    <m/>
    <d v="2024-10-22T00:00:00"/>
    <n v="200000"/>
    <m/>
    <m/>
    <m/>
    <m/>
    <m/>
    <n v="0"/>
    <m/>
    <m/>
  </r>
  <r>
    <x v="5"/>
    <d v="2024-10-21T00:00:00"/>
    <s v="FAC"/>
    <s v="A"/>
    <s v="0001"/>
    <s v="00000007"/>
    <x v="134"/>
    <n v="33718560999"/>
    <s v="Terminación 50% Fabricación Mesada para Cocina"/>
    <s v="ARS"/>
    <n v="1"/>
    <n v="192971.67"/>
    <n v="40524.0507"/>
    <n v="0"/>
    <n v="0"/>
    <n v="0"/>
    <n v="0"/>
    <n v="0"/>
    <n v="0"/>
    <n v="0"/>
    <n v="40524.0507"/>
    <n v="233495.72070000001"/>
    <n v="233495.72070000001"/>
    <n v="0"/>
    <x v="1"/>
    <m/>
    <d v="2024-10-22T00:00:00"/>
    <n v="233495.72070000001"/>
    <m/>
    <m/>
    <m/>
    <m/>
    <m/>
    <n v="0"/>
    <m/>
    <m/>
  </r>
  <r>
    <x v="5"/>
    <d v="2024-10-21T00:00:00"/>
    <s v="FAC"/>
    <s v="C"/>
    <s v="0002"/>
    <s v="00000151"/>
    <x v="84"/>
    <n v="20271839503"/>
    <s v="Honorarios Medicos P2024-09"/>
    <s v="ARS"/>
    <n v="1"/>
    <n v="337463.24"/>
    <n v="0"/>
    <n v="0"/>
    <n v="0"/>
    <n v="0"/>
    <n v="0"/>
    <n v="0"/>
    <n v="0"/>
    <n v="0"/>
    <n v="0"/>
    <n v="337463.24"/>
    <n v="337463.24"/>
    <n v="0"/>
    <x v="1"/>
    <m/>
    <d v="2024-10-22T00:00:00"/>
    <n v="337463.24"/>
    <m/>
    <m/>
    <m/>
    <m/>
    <m/>
    <n v="0"/>
    <m/>
    <m/>
  </r>
  <r>
    <x v="5"/>
    <d v="2024-10-21T00:00:00"/>
    <s v="FAC"/>
    <s v="C"/>
    <s v="0002"/>
    <s v="00000006"/>
    <x v="153"/>
    <n v="20350274716"/>
    <s v="Auditoria ambiental"/>
    <s v="ARS"/>
    <n v="1"/>
    <n v="595000"/>
    <n v="0"/>
    <n v="0"/>
    <n v="0"/>
    <n v="0"/>
    <n v="0"/>
    <n v="0"/>
    <n v="0"/>
    <n v="0"/>
    <n v="0"/>
    <n v="595000"/>
    <n v="595000"/>
    <n v="0"/>
    <x v="1"/>
    <m/>
    <d v="2024-10-23T00:00:00"/>
    <n v="595000"/>
    <m/>
    <m/>
    <m/>
    <m/>
    <m/>
    <n v="0"/>
    <m/>
    <m/>
  </r>
  <r>
    <x v="5"/>
    <d v="2024-10-21T00:00:00"/>
    <s v="FAC"/>
    <s v="A"/>
    <s v="0003"/>
    <s v="00039855"/>
    <x v="11"/>
    <n v="30709932361"/>
    <s v="Soluciones fisiologicas"/>
    <s v="ARS"/>
    <n v="1"/>
    <n v="0"/>
    <n v="0"/>
    <n v="0"/>
    <n v="0"/>
    <n v="0"/>
    <n v="1189976.6000000001"/>
    <n v="0"/>
    <n v="0"/>
    <n v="0"/>
    <n v="0"/>
    <n v="1189976.6000000001"/>
    <n v="1189976.6000000001"/>
    <n v="0"/>
    <x v="0"/>
    <m/>
    <m/>
    <m/>
    <m/>
    <m/>
    <m/>
    <m/>
    <m/>
    <m/>
    <m/>
    <m/>
  </r>
  <r>
    <x v="5"/>
    <d v="2024-10-21T00:00:00"/>
    <s v="FAC"/>
    <s v="A"/>
    <s v="0002"/>
    <s v="00001743"/>
    <x v="154"/>
    <n v="33710956109"/>
    <s v="Servicio de alimentación Julio 2024"/>
    <s v="ARS"/>
    <n v="1"/>
    <n v="3583400"/>
    <n v="752514"/>
    <n v="0"/>
    <n v="0"/>
    <n v="0"/>
    <n v="0"/>
    <n v="0"/>
    <n v="0"/>
    <n v="0"/>
    <n v="752514"/>
    <n v="4335914"/>
    <n v="4335914"/>
    <n v="70324.600000000006"/>
    <x v="1"/>
    <m/>
    <d v="2024-11-11T00:00:00"/>
    <n v="4265589.4000000004"/>
    <m/>
    <m/>
    <m/>
    <m/>
    <m/>
    <n v="0"/>
    <m/>
    <m/>
  </r>
  <r>
    <x v="5"/>
    <d v="2024-10-21T00:00:00"/>
    <s v="FAC"/>
    <s v="A"/>
    <s v="0002"/>
    <s v="00001744"/>
    <x v="154"/>
    <n v="33710956109"/>
    <s v="Servicio de alimentación Agosto 2024"/>
    <s v="ARS"/>
    <n v="1"/>
    <n v="4495400"/>
    <n v="944034"/>
    <n v="0"/>
    <n v="0"/>
    <n v="0"/>
    <n v="0"/>
    <n v="0"/>
    <n v="0"/>
    <n v="0"/>
    <n v="944034"/>
    <n v="5439434"/>
    <n v="5439434"/>
    <n v="88564.6"/>
    <x v="1"/>
    <m/>
    <d v="2021-11-21T00:00:00"/>
    <n v="5350869.4000000004"/>
    <m/>
    <m/>
    <m/>
    <m/>
    <m/>
    <m/>
    <m/>
    <m/>
  </r>
  <r>
    <x v="5"/>
    <d v="2024-10-21T00:00:00"/>
    <s v="FAC"/>
    <s v="A"/>
    <s v="0005"/>
    <s v="00000436"/>
    <x v="155"/>
    <n v="23165404289"/>
    <s v="Insumos de Farmacia"/>
    <s v="ARS"/>
    <n v="1"/>
    <n v="9824.5"/>
    <n v="2063.145"/>
    <n v="0"/>
    <n v="0"/>
    <n v="0"/>
    <n v="0"/>
    <n v="0"/>
    <n v="353.68200000000002"/>
    <n v="0"/>
    <n v="2063.145"/>
    <n v="12241.327000000001"/>
    <n v="12241.327000000001"/>
    <m/>
    <x v="0"/>
    <m/>
    <m/>
    <m/>
    <m/>
    <m/>
    <m/>
    <m/>
    <m/>
    <m/>
    <m/>
    <m/>
  </r>
  <r>
    <x v="5"/>
    <d v="2024-10-21T00:00:00"/>
    <s v="TICKET"/>
    <s v="B"/>
    <s v="0001"/>
    <s v="20241021"/>
    <x v="136"/>
    <n v="20304199483"/>
    <s v="Informatica - cable"/>
    <s v="ARS"/>
    <n v="1"/>
    <n v="3400"/>
    <n v="0"/>
    <n v="0"/>
    <n v="0"/>
    <n v="0"/>
    <n v="0"/>
    <n v="0"/>
    <n v="0"/>
    <n v="0"/>
    <n v="0"/>
    <n v="3400"/>
    <n v="3400"/>
    <n v="0"/>
    <x v="1"/>
    <m/>
    <d v="2024-10-21T00:00:00"/>
    <n v="0"/>
    <m/>
    <m/>
    <m/>
    <m/>
    <m/>
    <n v="3400"/>
    <m/>
    <m/>
  </r>
  <r>
    <x v="5"/>
    <d v="2024-10-21T00:00:00"/>
    <s v="REC"/>
    <s v="X"/>
    <s v="0077"/>
    <s v="20241021"/>
    <x v="64"/>
    <n v="30111111111"/>
    <s v="Cadete"/>
    <s v="ARS"/>
    <n v="1"/>
    <n v="3100"/>
    <n v="0"/>
    <n v="0"/>
    <n v="0"/>
    <n v="0"/>
    <n v="0"/>
    <n v="0"/>
    <n v="0"/>
    <n v="0"/>
    <n v="0"/>
    <n v="3100"/>
    <n v="3100"/>
    <n v="0"/>
    <x v="1"/>
    <m/>
    <d v="2024-10-21T00:00:00"/>
    <n v="0"/>
    <m/>
    <m/>
    <m/>
    <m/>
    <m/>
    <n v="3100"/>
    <m/>
    <m/>
  </r>
  <r>
    <x v="5"/>
    <d v="2024-10-22T00:00:00"/>
    <s v="FAC"/>
    <s v="A"/>
    <s v="0004"/>
    <s v="00023878"/>
    <x v="156"/>
    <n v="30592615661"/>
    <s v="Gastos de envío tubo, tanque, kits de ruedas para tomografo"/>
    <s v="ARS"/>
    <n v="1"/>
    <n v="732099.19"/>
    <n v="153740.82989999998"/>
    <n v="0"/>
    <n v="0"/>
    <n v="0"/>
    <n v="0"/>
    <n v="0"/>
    <n v="0"/>
    <n v="13177.78542"/>
    <n v="153740.82989999998"/>
    <n v="899017.80531999993"/>
    <n v="899017.80531999993"/>
    <n v="95123.46"/>
    <x v="1"/>
    <m/>
    <d v="2024-10-22T00:00:00"/>
    <n v="803894.34531999996"/>
    <m/>
    <m/>
    <m/>
    <m/>
    <m/>
    <n v="0"/>
    <m/>
    <m/>
  </r>
  <r>
    <x v="5"/>
    <d v="2024-10-22T00:00:00"/>
    <s v="FAC"/>
    <s v="A"/>
    <s v="0004"/>
    <s v="00023879"/>
    <x v="156"/>
    <n v="30592615661"/>
    <s v="Viaticos personal tecnico"/>
    <s v="ARS"/>
    <n v="1"/>
    <n v="1691243.74"/>
    <n v="355161.18539999996"/>
    <n v="0"/>
    <n v="0"/>
    <n v="0"/>
    <n v="0"/>
    <n v="0"/>
    <n v="0"/>
    <n v="30442.387320000002"/>
    <n v="355161.18539999996"/>
    <n v="2076847.31272"/>
    <n v="2076847.31272"/>
    <n v="0"/>
    <x v="1"/>
    <m/>
    <d v="2024-10-22T00:00:00"/>
    <n v="2076847.31272"/>
    <m/>
    <m/>
    <m/>
    <m/>
    <m/>
    <n v="0"/>
    <m/>
    <m/>
  </r>
  <r>
    <x v="5"/>
    <d v="2024-10-22T00:00:00"/>
    <s v="FAC"/>
    <s v="A"/>
    <s v="0004"/>
    <s v="00023880"/>
    <x v="156"/>
    <n v="30592615661"/>
    <s v="Honorarios profesional tecnico para instalacion tomografo"/>
    <s v="ARS"/>
    <n v="1"/>
    <n v="2400000"/>
    <n v="504000"/>
    <n v="0"/>
    <n v="0"/>
    <n v="0"/>
    <n v="0"/>
    <n v="0"/>
    <n v="0"/>
    <n v="43200.000000000007"/>
    <n v="504000"/>
    <n v="2947200"/>
    <n v="2947200"/>
    <n v="0"/>
    <x v="1"/>
    <m/>
    <d v="2024-10-22T00:00:00"/>
    <n v="2947200"/>
    <m/>
    <m/>
    <m/>
    <m/>
    <m/>
    <n v="0"/>
    <m/>
    <m/>
  </r>
  <r>
    <x v="5"/>
    <d v="2024-10-22T00:00:00"/>
    <s v="FAC"/>
    <s v="A"/>
    <s v="0003"/>
    <s v="00006473"/>
    <x v="22"/>
    <n v="33716385359"/>
    <s v="Insumos de Farmacia"/>
    <s v="ARS"/>
    <n v="1"/>
    <n v="31900"/>
    <n v="6699"/>
    <n v="0"/>
    <n v="0"/>
    <n v="0"/>
    <n v="186975"/>
    <n v="0"/>
    <n v="7879.5000000000009"/>
    <n v="0"/>
    <n v="6699"/>
    <n v="233453.5"/>
    <n v="233453.5"/>
    <m/>
    <x v="1"/>
    <m/>
    <d v="2024-11-14T00:00:00"/>
    <m/>
    <m/>
    <m/>
    <m/>
    <m/>
    <m/>
    <m/>
    <m/>
    <s v="CH 30 y 60"/>
  </r>
  <r>
    <x v="5"/>
    <d v="2024-10-22T00:00:00"/>
    <s v="FAC"/>
    <s v="A"/>
    <s v="0002"/>
    <s v="00001745"/>
    <x v="154"/>
    <n v="33710956109"/>
    <s v="Servicio de alimentación Septiembre 2024"/>
    <s v="ARS"/>
    <n v="1"/>
    <n v="4275000"/>
    <n v="897750"/>
    <n v="0"/>
    <n v="0"/>
    <n v="0"/>
    <n v="0"/>
    <n v="0"/>
    <n v="0"/>
    <n v="0"/>
    <n v="897750"/>
    <n v="5172750"/>
    <n v="5172750"/>
    <m/>
    <x v="0"/>
    <m/>
    <m/>
    <m/>
    <m/>
    <m/>
    <m/>
    <m/>
    <m/>
    <m/>
    <m/>
    <m/>
  </r>
  <r>
    <x v="5"/>
    <d v="2024-10-22T00:00:00"/>
    <s v="FAC"/>
    <s v="A"/>
    <s v="0005"/>
    <s v="00013040"/>
    <x v="157"/>
    <n v="30714856274"/>
    <s v="Insumos de Farmacia"/>
    <s v="ARS"/>
    <n v="1"/>
    <n v="0"/>
    <n v="0"/>
    <n v="0"/>
    <n v="0"/>
    <n v="0"/>
    <n v="86286.7"/>
    <n v="0"/>
    <n v="0"/>
    <n v="0"/>
    <n v="0"/>
    <n v="86286.7"/>
    <n v="86286.7"/>
    <m/>
    <x v="0"/>
    <m/>
    <m/>
    <m/>
    <m/>
    <m/>
    <m/>
    <m/>
    <m/>
    <m/>
    <m/>
    <m/>
  </r>
  <r>
    <x v="5"/>
    <d v="2024-10-23T00:00:00"/>
    <s v="FAC"/>
    <s v="A"/>
    <s v="0007"/>
    <s v="00000031"/>
    <x v="25"/>
    <n v="27057859755"/>
    <s v="Alquiler mensual octubre 2024"/>
    <s v="ARS"/>
    <n v="1"/>
    <n v="2704000"/>
    <n v="567840"/>
    <n v="0"/>
    <n v="0"/>
    <n v="0"/>
    <n v="0"/>
    <n v="0"/>
    <n v="0"/>
    <n v="0"/>
    <n v="567840"/>
    <n v="3271840"/>
    <n v="3271840"/>
    <n v="0"/>
    <x v="1"/>
    <m/>
    <d v="2024-10-18T00:00:00"/>
    <n v="3271840"/>
    <m/>
    <m/>
    <m/>
    <m/>
    <m/>
    <n v="0"/>
    <m/>
    <m/>
  </r>
  <r>
    <x v="5"/>
    <d v="2024-10-23T00:00:00"/>
    <s v="FAC"/>
    <s v="C"/>
    <s v="0001"/>
    <s v="00000031"/>
    <x v="128"/>
    <n v="27339701712"/>
    <s v="Honorarios Coordinación UTI y Piso Dr. Diaz Martinez"/>
    <s v="ARS"/>
    <n v="1"/>
    <n v="1600000"/>
    <n v="0"/>
    <n v="0"/>
    <n v="0"/>
    <n v="0"/>
    <n v="0"/>
    <n v="0"/>
    <n v="0"/>
    <n v="0"/>
    <n v="0"/>
    <n v="1600000"/>
    <n v="1600000"/>
    <n v="0"/>
    <x v="1"/>
    <m/>
    <d v="2024-10-18T00:00:00"/>
    <n v="1600000"/>
    <m/>
    <m/>
    <m/>
    <m/>
    <m/>
    <n v="0"/>
    <m/>
    <m/>
  </r>
  <r>
    <x v="5"/>
    <d v="2024-10-23T00:00:00"/>
    <s v="FAC"/>
    <s v="A"/>
    <s v="0022"/>
    <s v="00000540"/>
    <x v="18"/>
    <n v="30716375184"/>
    <s v="Mercadería para oficina"/>
    <s v="ARS"/>
    <n v="1"/>
    <n v="16561.93"/>
    <n v="3478.0052999999998"/>
    <n v="0"/>
    <n v="0"/>
    <n v="0"/>
    <n v="0"/>
    <n v="0"/>
    <n v="0"/>
    <n v="0"/>
    <n v="3478.0052999999998"/>
    <n v="20039.935300000001"/>
    <n v="20039.935300000001"/>
    <n v="0"/>
    <x v="1"/>
    <m/>
    <d v="2024-10-23T00:00:00"/>
    <n v="0"/>
    <m/>
    <m/>
    <m/>
    <m/>
    <m/>
    <n v="20039.935300000001"/>
    <m/>
    <m/>
  </r>
  <r>
    <x v="5"/>
    <d v="2024-10-23T00:00:00"/>
    <s v="TICKET"/>
    <s v="X"/>
    <s v="0001"/>
    <s v="20241023"/>
    <x v="64"/>
    <n v="30111111111"/>
    <s v="Gastos Sin Factura"/>
    <s v="ARS"/>
    <n v="1"/>
    <n v="36919"/>
    <n v="0"/>
    <n v="0"/>
    <n v="0"/>
    <n v="0"/>
    <n v="0"/>
    <n v="0"/>
    <n v="0"/>
    <n v="0"/>
    <n v="0"/>
    <n v="36919"/>
    <n v="36919"/>
    <n v="0"/>
    <x v="1"/>
    <m/>
    <d v="2024-10-23T00:00:00"/>
    <n v="0"/>
    <m/>
    <m/>
    <m/>
    <m/>
    <m/>
    <n v="36919"/>
    <m/>
    <m/>
  </r>
  <r>
    <x v="5"/>
    <d v="2024-10-23T00:00:00"/>
    <s v="REC"/>
    <s v="X"/>
    <s v="0077"/>
    <s v="20241023"/>
    <x v="64"/>
    <n v="30111111111"/>
    <s v="Cadete"/>
    <s v="ARS"/>
    <n v="1"/>
    <n v="6060"/>
    <n v="0"/>
    <n v="0"/>
    <n v="0"/>
    <n v="0"/>
    <n v="0"/>
    <n v="0"/>
    <n v="0"/>
    <n v="0"/>
    <n v="0"/>
    <n v="6060"/>
    <n v="6060"/>
    <n v="0"/>
    <x v="1"/>
    <m/>
    <d v="2024-10-23T00:00:00"/>
    <n v="0"/>
    <m/>
    <m/>
    <m/>
    <m/>
    <m/>
    <n v="6060"/>
    <m/>
    <m/>
  </r>
  <r>
    <x v="5"/>
    <d v="2024-10-23T00:00:00"/>
    <s v="FAC"/>
    <s v="C"/>
    <s v="0003"/>
    <s v="00000104"/>
    <x v="16"/>
    <n v="20306364945"/>
    <s v="Servicios y ventas de Insumos medicos Septiembre 2024"/>
    <s v="ARS"/>
    <n v="1"/>
    <n v="6592000"/>
    <n v="0"/>
    <n v="0"/>
    <n v="0"/>
    <n v="0"/>
    <n v="0"/>
    <n v="0"/>
    <n v="0"/>
    <n v="0"/>
    <n v="0"/>
    <n v="6592000"/>
    <n v="6592000"/>
    <n v="0"/>
    <x v="0"/>
    <m/>
    <m/>
    <m/>
    <m/>
    <m/>
    <m/>
    <m/>
    <m/>
    <m/>
    <m/>
    <m/>
  </r>
  <r>
    <x v="5"/>
    <d v="2024-10-23T00:00:00"/>
    <s v="FAC"/>
    <s v="A"/>
    <s v="0171"/>
    <s v="00000153"/>
    <x v="42"/>
    <n v="30583516790"/>
    <s v="Insumos de Librería"/>
    <s v="ARS"/>
    <n v="1"/>
    <n v="3430.85"/>
    <n v="720.47849999999994"/>
    <n v="0"/>
    <n v="0"/>
    <n v="0"/>
    <n v="0"/>
    <n v="0"/>
    <n v="0"/>
    <n v="0"/>
    <n v="720.47849999999994"/>
    <n v="4151.3284999999996"/>
    <n v="4151.3284999999996"/>
    <n v="0"/>
    <x v="1"/>
    <m/>
    <d v="2024-10-23T00:00:00"/>
    <n v="0"/>
    <m/>
    <m/>
    <m/>
    <m/>
    <m/>
    <n v="4151.3284999999996"/>
    <m/>
    <m/>
  </r>
  <r>
    <x v="5"/>
    <d v="2024-10-24T00:00:00"/>
    <s v="FAC"/>
    <s v="A"/>
    <s v="0006"/>
    <s v="00002873"/>
    <x v="8"/>
    <n v="30716939762"/>
    <s v="Mercadería para oficina"/>
    <s v="ARS"/>
    <n v="1"/>
    <n v="90072"/>
    <n v="18915.12"/>
    <n v="0"/>
    <n v="0"/>
    <n v="0"/>
    <n v="0"/>
    <n v="0"/>
    <n v="0"/>
    <n v="0"/>
    <n v="18915.12"/>
    <n v="108987.12"/>
    <n v="108987.12"/>
    <n v="0"/>
    <x v="1"/>
    <m/>
    <d v="2024-10-23T00:00:00"/>
    <n v="108987.12"/>
    <m/>
    <m/>
    <m/>
    <m/>
    <m/>
    <m/>
    <m/>
    <m/>
  </r>
  <r>
    <x v="5"/>
    <d v="2024-10-24T00:00:00"/>
    <s v="FAC"/>
    <s v="A"/>
    <s v="0007"/>
    <s v="00009315"/>
    <x v="158"/>
    <n v="30711918538"/>
    <s v="Insumos de limpieza"/>
    <s v="ARS"/>
    <n v="1"/>
    <n v="115220.52"/>
    <n v="24196.3092"/>
    <n v="0"/>
    <n v="0"/>
    <n v="0"/>
    <n v="0"/>
    <n v="0"/>
    <n v="0"/>
    <n v="0"/>
    <n v="24196.3092"/>
    <n v="139416.82920000001"/>
    <n v="139416.82920000001"/>
    <n v="0"/>
    <x v="0"/>
    <m/>
    <m/>
    <m/>
    <m/>
    <m/>
    <m/>
    <m/>
    <m/>
    <m/>
    <m/>
    <m/>
  </r>
  <r>
    <x v="5"/>
    <d v="2024-10-24T00:00:00"/>
    <s v="FAC"/>
    <s v="A"/>
    <s v="0172"/>
    <s v="00013537"/>
    <x v="20"/>
    <n v="30673770483"/>
    <s v="Mercadería para oficina"/>
    <s v="ARS"/>
    <n v="1"/>
    <n v="57243.06"/>
    <n v="12021.042599999999"/>
    <n v="0"/>
    <n v="0"/>
    <n v="0"/>
    <n v="0"/>
    <n v="0"/>
    <n v="2060.7501600000001"/>
    <n v="0"/>
    <n v="12021.042599999999"/>
    <n v="71324.852759999994"/>
    <n v="71324.852759999994"/>
    <n v="0"/>
    <x v="1"/>
    <m/>
    <d v="2024-10-24T00:00:00"/>
    <n v="0"/>
    <m/>
    <m/>
    <m/>
    <m/>
    <m/>
    <n v="71324.852759999994"/>
    <m/>
    <m/>
  </r>
  <r>
    <x v="5"/>
    <d v="2024-10-24T00:00:00"/>
    <s v="FAC"/>
    <s v="A"/>
    <s v="0083"/>
    <s v="00001175"/>
    <x v="126"/>
    <n v="30711230862"/>
    <s v="Mercadería para oficina"/>
    <s v="ARS"/>
    <n v="1"/>
    <n v="19005.2"/>
    <n v="3991.0920000000001"/>
    <n v="0"/>
    <n v="0"/>
    <n v="0"/>
    <n v="0"/>
    <n v="0"/>
    <n v="684.18720000000008"/>
    <n v="0"/>
    <n v="3991.0920000000001"/>
    <n v="23680.479200000002"/>
    <n v="23680.479200000002"/>
    <n v="0"/>
    <x v="1"/>
    <m/>
    <d v="2024-10-24T00:00:00"/>
    <n v="0"/>
    <m/>
    <m/>
    <m/>
    <m/>
    <m/>
    <n v="23680.479200000002"/>
    <m/>
    <m/>
  </r>
  <r>
    <x v="5"/>
    <d v="2024-10-24T00:00:00"/>
    <s v="REC"/>
    <s v="X"/>
    <s v="0001"/>
    <s v="00000085"/>
    <x v="64"/>
    <n v="30111111111"/>
    <s v="Cadete"/>
    <s v="ARS"/>
    <n v="1"/>
    <n v="5000"/>
    <n v="0"/>
    <n v="0"/>
    <n v="0"/>
    <n v="0"/>
    <n v="0"/>
    <n v="0"/>
    <n v="0"/>
    <n v="0"/>
    <n v="0"/>
    <n v="5000"/>
    <n v="5000"/>
    <n v="0"/>
    <x v="1"/>
    <m/>
    <d v="2024-10-24T00:00:00"/>
    <n v="0"/>
    <m/>
    <m/>
    <m/>
    <m/>
    <m/>
    <n v="5000"/>
    <m/>
    <m/>
  </r>
  <r>
    <x v="5"/>
    <d v="2024-10-24T00:00:00"/>
    <s v="FAC"/>
    <s v="A"/>
    <s v="0004"/>
    <s v="00025512"/>
    <x v="35"/>
    <n v="33631274329"/>
    <s v="Mantenimiento Ascensor P2024-10"/>
    <s v="ARS"/>
    <n v="1"/>
    <n v="55475.11"/>
    <n v="0"/>
    <n v="5824.8865500000002"/>
    <n v="0"/>
    <n v="0"/>
    <n v="0"/>
    <n v="0"/>
    <n v="1997.1039600000001"/>
    <n v="0"/>
    <n v="5824.8865500000002"/>
    <n v="63297.100510000004"/>
    <n v="63297.100510000004"/>
    <m/>
    <x v="0"/>
    <m/>
    <m/>
    <m/>
    <m/>
    <m/>
    <m/>
    <m/>
    <m/>
    <m/>
    <m/>
    <m/>
  </r>
  <r>
    <x v="5"/>
    <d v="2024-10-24T00:00:00"/>
    <s v="FAC"/>
    <s v="A"/>
    <s v="0017"/>
    <s v="00000029"/>
    <x v="22"/>
    <n v="33716385359"/>
    <s v="Insumos de Farmacia"/>
    <s v="ARS"/>
    <n v="1"/>
    <n v="0"/>
    <n v="0"/>
    <n v="0"/>
    <n v="0"/>
    <n v="0"/>
    <n v="192000"/>
    <n v="0"/>
    <n v="0"/>
    <n v="0"/>
    <n v="0"/>
    <n v="192000"/>
    <n v="192000"/>
    <m/>
    <x v="1"/>
    <m/>
    <d v="2024-11-14T00:00:00"/>
    <m/>
    <m/>
    <m/>
    <m/>
    <m/>
    <m/>
    <m/>
    <m/>
    <s v="CH 30 y 60"/>
  </r>
  <r>
    <x v="5"/>
    <d v="2024-10-25T00:00:00"/>
    <s v="FAC"/>
    <s v="A"/>
    <s v="8197"/>
    <s v="00007223"/>
    <x v="159"/>
    <n v="33711043069"/>
    <s v="Encomiendas y fletes"/>
    <s v="ARS"/>
    <n v="1"/>
    <n v="32471.01"/>
    <n v="6818.9120999999996"/>
    <n v="0"/>
    <n v="0"/>
    <n v="0"/>
    <n v="0"/>
    <n v="0"/>
    <n v="0"/>
    <n v="0"/>
    <n v="6818.9120999999996"/>
    <n v="39289.922099999996"/>
    <n v="39289.922099999996"/>
    <n v="0"/>
    <x v="1"/>
    <m/>
    <d v="2024-10-23T00:00:00"/>
    <n v="0"/>
    <m/>
    <m/>
    <m/>
    <m/>
    <m/>
    <n v="39289.922099999996"/>
    <m/>
    <m/>
  </r>
  <r>
    <x v="5"/>
    <d v="2024-10-25T00:00:00"/>
    <s v="FAC"/>
    <s v="C"/>
    <s v="0001"/>
    <s v="00000003"/>
    <x v="112"/>
    <n v="27434989693"/>
    <s v="Servicios médicos administrativos generales prestados P2024-09"/>
    <s v="ARS"/>
    <n v="1"/>
    <n v="1000000"/>
    <n v="0"/>
    <n v="0"/>
    <n v="0"/>
    <n v="0"/>
    <n v="0"/>
    <n v="0"/>
    <n v="0"/>
    <n v="0"/>
    <n v="0"/>
    <n v="1000000"/>
    <n v="1000000"/>
    <n v="0"/>
    <x v="1"/>
    <m/>
    <d v="2024-10-24T00:00:00"/>
    <n v="1000000"/>
    <m/>
    <m/>
    <m/>
    <m/>
    <m/>
    <n v="0"/>
    <m/>
    <m/>
  </r>
  <r>
    <x v="5"/>
    <d v="2024-10-25T00:00:00"/>
    <s v="FAC"/>
    <s v="A"/>
    <s v="0005"/>
    <s v="00000120"/>
    <x v="160"/>
    <n v="33709029989"/>
    <s v="Compra e instalacion de aires acondicionados"/>
    <s v="ARS"/>
    <n v="1"/>
    <n v="2848128"/>
    <n v="598106.88"/>
    <n v="0"/>
    <n v="0"/>
    <n v="0"/>
    <n v="0"/>
    <n v="0"/>
    <n v="0"/>
    <n v="0"/>
    <n v="598106.88"/>
    <n v="3446234.88"/>
    <n v="3446234.88"/>
    <n v="52482.559999999998"/>
    <x v="1"/>
    <m/>
    <d v="2024-10-25T00:00:00"/>
    <n v="3393752.32"/>
    <m/>
    <m/>
    <m/>
    <m/>
    <m/>
    <n v="0"/>
    <m/>
    <m/>
  </r>
  <r>
    <x v="5"/>
    <d v="2024-10-25T00:00:00"/>
    <s v="FAC"/>
    <s v="A"/>
    <s v="0003"/>
    <s v="00006492"/>
    <x v="22"/>
    <n v="33716385359"/>
    <s v="Insumos de Farmacia"/>
    <s v="ARS"/>
    <n v="1"/>
    <n v="45000"/>
    <n v="9450"/>
    <n v="0"/>
    <n v="0"/>
    <n v="0"/>
    <n v="0"/>
    <n v="0"/>
    <n v="1620.0000000000002"/>
    <n v="0"/>
    <n v="9450"/>
    <n v="56070"/>
    <n v="56070"/>
    <n v="91265.4"/>
    <x v="1"/>
    <m/>
    <d v="2024-11-14T00:00:00"/>
    <n v="5364577.5199999996"/>
    <m/>
    <m/>
    <m/>
    <m/>
    <m/>
    <m/>
    <m/>
    <s v="CH 30 y 60"/>
  </r>
  <r>
    <x v="5"/>
    <d v="2024-10-25T00:00:00"/>
    <s v="FAC"/>
    <s v="A"/>
    <s v="0003"/>
    <s v="00039944"/>
    <x v="11"/>
    <n v="30709932361"/>
    <s v="Insumos de Farmacia"/>
    <s v="ARS"/>
    <n v="1"/>
    <n v="133501.56"/>
    <n v="28035.327599999997"/>
    <n v="0"/>
    <n v="0"/>
    <n v="0"/>
    <n v="118125"/>
    <n v="0"/>
    <n v="0"/>
    <n v="0"/>
    <n v="28035.327599999997"/>
    <n v="279661.88760000002"/>
    <n v="279661.88760000002"/>
    <n v="0"/>
    <x v="0"/>
    <m/>
    <m/>
    <m/>
    <m/>
    <m/>
    <m/>
    <m/>
    <m/>
    <m/>
    <m/>
    <m/>
  </r>
  <r>
    <x v="5"/>
    <d v="2024-10-25T00:00:00"/>
    <s v="FAC"/>
    <s v="A"/>
    <s v="0004"/>
    <s v="00006094"/>
    <x v="15"/>
    <n v="30716688735"/>
    <s v="Insumos de Farmacia"/>
    <s v="ARS"/>
    <n v="1"/>
    <n v="158773.22"/>
    <n v="33342.376199999999"/>
    <n v="0"/>
    <n v="0"/>
    <n v="0"/>
    <n v="183760"/>
    <n v="0"/>
    <n v="0"/>
    <n v="0"/>
    <n v="33342.376199999999"/>
    <n v="375875.59620000003"/>
    <n v="375875.59620000003"/>
    <n v="5192.0217999999995"/>
    <x v="1"/>
    <m/>
    <d v="2024-11-29T00:00:00"/>
    <n v="526563.57075000007"/>
    <m/>
    <m/>
    <m/>
    <m/>
    <m/>
    <n v="0"/>
    <m/>
    <m/>
  </r>
  <r>
    <x v="5"/>
    <d v="2024-10-25T00:00:00"/>
    <s v="FAC"/>
    <s v="X"/>
    <s v="0003"/>
    <s v="20241025"/>
    <x v="64"/>
    <n v="30111111111"/>
    <s v="Remis - Taxi"/>
    <s v="ARS"/>
    <n v="1"/>
    <n v="4234"/>
    <n v="0"/>
    <n v="0"/>
    <n v="0"/>
    <n v="0"/>
    <n v="0"/>
    <n v="0"/>
    <n v="0"/>
    <n v="0"/>
    <n v="0"/>
    <n v="4234"/>
    <n v="4234"/>
    <n v="0"/>
    <x v="1"/>
    <m/>
    <d v="2024-10-25T00:00:00"/>
    <n v="0"/>
    <m/>
    <m/>
    <m/>
    <m/>
    <m/>
    <n v="4234"/>
    <m/>
    <m/>
  </r>
  <r>
    <x v="5"/>
    <d v="2024-10-25T00:00:00"/>
    <s v="REC"/>
    <s v="X"/>
    <s v="0001"/>
    <s v="20241025"/>
    <x v="64"/>
    <n v="30111111111"/>
    <s v="Cadete"/>
    <s v="ARS"/>
    <n v="1"/>
    <n v="13000"/>
    <n v="0"/>
    <n v="0"/>
    <n v="0"/>
    <n v="0"/>
    <n v="0"/>
    <n v="0"/>
    <n v="0"/>
    <n v="0"/>
    <n v="0"/>
    <n v="13000"/>
    <n v="13000"/>
    <n v="0"/>
    <x v="1"/>
    <m/>
    <d v="2024-10-25T00:00:00"/>
    <n v="0"/>
    <m/>
    <m/>
    <m/>
    <m/>
    <m/>
    <n v="13000"/>
    <m/>
    <m/>
  </r>
  <r>
    <x v="5"/>
    <d v="2024-10-25T00:00:00"/>
    <s v="REC"/>
    <s v="X"/>
    <s v="0002"/>
    <s v="20241025"/>
    <x v="64"/>
    <n v="30111111111"/>
    <s v="Cadete"/>
    <s v="ARS"/>
    <n v="1"/>
    <n v="3500"/>
    <n v="0"/>
    <n v="0"/>
    <n v="0"/>
    <n v="0"/>
    <n v="0"/>
    <n v="0"/>
    <n v="0"/>
    <n v="0"/>
    <n v="0"/>
    <n v="3500"/>
    <n v="3500"/>
    <n v="0"/>
    <x v="1"/>
    <m/>
    <d v="2024-10-25T00:00:00"/>
    <n v="0"/>
    <m/>
    <m/>
    <m/>
    <m/>
    <m/>
    <n v="3500"/>
    <m/>
    <m/>
  </r>
  <r>
    <x v="5"/>
    <d v="2024-10-26T00:00:00"/>
    <s v="FAC"/>
    <s v="A"/>
    <s v="5003"/>
    <s v="02662569"/>
    <x v="98"/>
    <n v="30518408689"/>
    <s v="Comida para el BAR"/>
    <s v="ARS"/>
    <n v="1"/>
    <n v="32550.85"/>
    <n v="6835.6784999999991"/>
    <n v="0"/>
    <n v="0"/>
    <n v="0"/>
    <n v="0"/>
    <n v="976.52549999999997"/>
    <n v="1265.9000000000001"/>
    <n v="2753.4399999999996"/>
    <n v="6835.6784999999991"/>
    <n v="44382.394000000008"/>
    <n v="44382.394000000008"/>
    <n v="0"/>
    <x v="1"/>
    <m/>
    <m/>
    <m/>
    <m/>
    <m/>
    <m/>
    <m/>
    <m/>
    <m/>
    <m/>
    <m/>
  </r>
  <r>
    <x v="5"/>
    <d v="2024-10-28T00:00:00"/>
    <s v="FAC"/>
    <s v="A"/>
    <s v="0004"/>
    <s v="00023889"/>
    <x v="156"/>
    <n v="30592615661"/>
    <s v="Gastos de envío tcu, starter neuviz16 y fusible"/>
    <s v="ARS"/>
    <n v="1"/>
    <n v="124395.91"/>
    <n v="26123.141100000001"/>
    <n v="0"/>
    <n v="0"/>
    <n v="0"/>
    <n v="0"/>
    <n v="0"/>
    <n v="0"/>
    <n v="2239.1263800000002"/>
    <n v="26123.141100000001"/>
    <n v="152758.17748000001"/>
    <n v="152758.17748000001"/>
    <n v="0"/>
    <x v="0"/>
    <m/>
    <m/>
    <m/>
    <m/>
    <m/>
    <m/>
    <m/>
    <m/>
    <m/>
    <m/>
    <m/>
  </r>
  <r>
    <x v="5"/>
    <d v="2024-10-28T00:00:00"/>
    <s v="FAC"/>
    <s v="A"/>
    <s v="0037"/>
    <s v="00016269"/>
    <x v="47"/>
    <n v="30557717400"/>
    <s v="Materiales para obra en construccion - Pres 1835603"/>
    <s v="ARS"/>
    <n v="1"/>
    <n v="98400.19"/>
    <n v="20664.0399"/>
    <n v="0"/>
    <n v="0"/>
    <n v="0"/>
    <n v="0"/>
    <n v="0"/>
    <n v="4461.1899999999996"/>
    <n v="0"/>
    <n v="20664.0399"/>
    <n v="123525.41990000001"/>
    <n v="123525.41990000001"/>
    <n v="0"/>
    <x v="1"/>
    <m/>
    <d v="2024-10-25T00:00:00"/>
    <n v="123525.41990000001"/>
    <m/>
    <m/>
    <m/>
    <m/>
    <m/>
    <n v="0"/>
    <m/>
    <m/>
  </r>
  <r>
    <x v="5"/>
    <d v="2024-10-29T00:00:00"/>
    <s v="FAC"/>
    <s v="C"/>
    <s v="0001"/>
    <s v="00000037"/>
    <x v="12"/>
    <n v="20283782280"/>
    <s v="Servicios de informatica  - Trabajos realizados de informatica"/>
    <s v="ARS"/>
    <n v="1"/>
    <n v="295000"/>
    <n v="0"/>
    <n v="0"/>
    <n v="0"/>
    <n v="0"/>
    <n v="0"/>
    <n v="0"/>
    <n v="0"/>
    <n v="0"/>
    <n v="0"/>
    <n v="295000"/>
    <n v="295000"/>
    <n v="0"/>
    <x v="1"/>
    <m/>
    <d v="2024-11-19T00:00:00"/>
    <n v="295000"/>
    <m/>
    <m/>
    <m/>
    <m/>
    <m/>
    <n v="0"/>
    <m/>
    <m/>
  </r>
  <r>
    <x v="5"/>
    <d v="2024-10-29T00:00:00"/>
    <s v="FAC"/>
    <s v="A"/>
    <s v="0002"/>
    <s v="00016226"/>
    <x v="2"/>
    <n v="20203998091"/>
    <s v="Insumos de Farmacia"/>
    <s v="ARS"/>
    <n v="1"/>
    <n v="47084.78"/>
    <n v="9887.8037999999997"/>
    <n v="0"/>
    <n v="0"/>
    <n v="0"/>
    <n v="0"/>
    <n v="0"/>
    <n v="0"/>
    <m/>
    <n v="9887.8037999999997"/>
    <n v="56972.5838"/>
    <n v="56972.5838"/>
    <m/>
    <x v="0"/>
    <m/>
    <m/>
    <m/>
    <m/>
    <m/>
    <m/>
    <m/>
    <m/>
    <m/>
    <m/>
    <m/>
  </r>
  <r>
    <x v="5"/>
    <d v="2024-10-30T00:00:00"/>
    <s v="FAC"/>
    <s v="A"/>
    <s v="0014"/>
    <s v="00020669"/>
    <x v="136"/>
    <n v="20304199483"/>
    <s v="Pendrive"/>
    <s v="ARS"/>
    <n v="1"/>
    <n v="5123.97"/>
    <n v="1076.0337"/>
    <n v="0"/>
    <n v="0"/>
    <n v="0"/>
    <n v="0"/>
    <n v="0"/>
    <n v="0"/>
    <n v="0"/>
    <n v="1076.0337"/>
    <n v="6200.0037000000002"/>
    <n v="6200.0037000000002"/>
    <n v="0"/>
    <x v="1"/>
    <m/>
    <d v="2024-10-30T00:00:00"/>
    <n v="0"/>
    <m/>
    <m/>
    <m/>
    <m/>
    <m/>
    <n v="6200.0037000000002"/>
    <m/>
    <m/>
  </r>
  <r>
    <x v="5"/>
    <d v="2024-10-30T00:00:00"/>
    <s v="FAC"/>
    <s v="B"/>
    <s v="0010"/>
    <s v="00102680"/>
    <x v="161"/>
    <n v="30715897497"/>
    <s v="Comida"/>
    <s v="ARS"/>
    <n v="1"/>
    <n v="15400"/>
    <n v="0"/>
    <n v="0"/>
    <n v="0"/>
    <n v="0"/>
    <n v="0"/>
    <n v="0"/>
    <n v="0"/>
    <n v="0"/>
    <n v="0"/>
    <n v="15400"/>
    <n v="15400"/>
    <n v="0"/>
    <x v="1"/>
    <m/>
    <d v="2024-10-30T00:00:00"/>
    <n v="0"/>
    <m/>
    <m/>
    <m/>
    <m/>
    <m/>
    <n v="15400"/>
    <m/>
    <m/>
  </r>
  <r>
    <x v="5"/>
    <d v="2024-10-30T00:00:00"/>
    <s v="FAC"/>
    <s v="A"/>
    <s v="0003"/>
    <s v="00000599"/>
    <x v="162"/>
    <n v="30714408956"/>
    <s v="Insumos de Farmacia (solo se paga el 3% de la factura)"/>
    <s v="ARS"/>
    <n v="1"/>
    <n v="0"/>
    <n v="0"/>
    <n v="0"/>
    <n v="0"/>
    <n v="0"/>
    <n v="2385500"/>
    <n v="0"/>
    <n v="0"/>
    <n v="0"/>
    <n v="0"/>
    <n v="2385500"/>
    <n v="2385500"/>
    <m/>
    <x v="1"/>
    <m/>
    <d v="2024-11-28T00:00:00"/>
    <n v="71565"/>
    <m/>
    <m/>
    <m/>
    <m/>
    <m/>
    <n v="0"/>
    <m/>
    <m/>
  </r>
  <r>
    <x v="5"/>
    <d v="2024-10-30T00:00:00"/>
    <s v="FAC"/>
    <s v="A"/>
    <s v="0052"/>
    <s v="00158855"/>
    <x v="36"/>
    <n v="30716596881"/>
    <s v="Comida para el BAR"/>
    <s v="ARS"/>
    <n v="1"/>
    <n v="11404.96"/>
    <n v="2395.0415999999996"/>
    <n v="0"/>
    <n v="0"/>
    <n v="0"/>
    <n v="0"/>
    <n v="0"/>
    <n v="0"/>
    <n v="0"/>
    <n v="2395.0415999999996"/>
    <n v="13800.0016"/>
    <n v="13800.0016"/>
    <n v="0"/>
    <x v="1"/>
    <m/>
    <m/>
    <m/>
    <m/>
    <m/>
    <m/>
    <m/>
    <m/>
    <m/>
    <m/>
    <m/>
  </r>
  <r>
    <x v="5"/>
    <d v="2024-10-31T00:00:00"/>
    <s v="FAC"/>
    <s v="A"/>
    <s v="0171"/>
    <s v="00000153"/>
    <x v="146"/>
    <n v="30583516790"/>
    <s v="Insumos de Librería"/>
    <s v="ARS"/>
    <n v="1"/>
    <n v="47389.919999999998"/>
    <n v="9951.8831999999984"/>
    <n v="0"/>
    <n v="0"/>
    <n v="0"/>
    <n v="0"/>
    <n v="0"/>
    <n v="0"/>
    <n v="0"/>
    <n v="9951.8831999999984"/>
    <n v="57341.803199999995"/>
    <n v="57341.803199999995"/>
    <n v="0"/>
    <x v="1"/>
    <m/>
    <d v="2024-10-31T00:00:00"/>
    <n v="0"/>
    <m/>
    <m/>
    <m/>
    <m/>
    <m/>
    <n v="57341.803199999995"/>
    <m/>
    <m/>
  </r>
  <r>
    <x v="5"/>
    <d v="2024-10-31T00:00:00"/>
    <s v="FAC"/>
    <s v="A"/>
    <s v="0014"/>
    <s v="00020669"/>
    <x v="136"/>
    <n v="20304199483"/>
    <s v="Mouse y teclado para PC"/>
    <s v="ARS"/>
    <n v="1"/>
    <n v="25393.58"/>
    <n v="3280.1642999999999"/>
    <n v="1026.2437499999999"/>
    <n v="0"/>
    <n v="0"/>
    <n v="0"/>
    <n v="0"/>
    <n v="0"/>
    <n v="0.01"/>
    <n v="4306.40805"/>
    <n v="29699.998050000002"/>
    <n v="29699.998050000002"/>
    <n v="0"/>
    <x v="1"/>
    <m/>
    <d v="2024-10-31T00:00:00"/>
    <n v="0"/>
    <m/>
    <m/>
    <m/>
    <m/>
    <m/>
    <n v="29699.998050000002"/>
    <m/>
    <m/>
  </r>
  <r>
    <x v="5"/>
    <d v="2024-10-31T00:00:00"/>
    <s v="A cuenta"/>
    <m/>
    <m/>
    <s v="20241031"/>
    <x v="51"/>
    <m/>
    <s v="Servicio de esterilización"/>
    <s v="ARS"/>
    <n v="1"/>
    <n v="106000"/>
    <n v="0"/>
    <n v="0"/>
    <n v="0"/>
    <n v="0"/>
    <n v="0"/>
    <n v="0"/>
    <n v="0"/>
    <n v="0"/>
    <n v="0"/>
    <n v="106000"/>
    <n v="106000"/>
    <n v="0"/>
    <x v="1"/>
    <m/>
    <d v="2024-10-31T00:00:00"/>
    <n v="0"/>
    <m/>
    <m/>
    <m/>
    <m/>
    <m/>
    <n v="106000"/>
    <m/>
    <m/>
  </r>
  <r>
    <x v="5"/>
    <d v="2024-10-31T00:00:00"/>
    <s v="FAC"/>
    <s v="X"/>
    <s v="0003"/>
    <s v="20241031"/>
    <x v="64"/>
    <n v="30111111111"/>
    <s v="Remis - Taxi"/>
    <s v="ARS"/>
    <n v="1"/>
    <n v="16957"/>
    <n v="0"/>
    <n v="0"/>
    <n v="0"/>
    <n v="0"/>
    <n v="0"/>
    <n v="0"/>
    <n v="0"/>
    <n v="0"/>
    <n v="0"/>
    <n v="16957"/>
    <n v="16957"/>
    <n v="0"/>
    <x v="1"/>
    <m/>
    <d v="2024-10-31T00:00:00"/>
    <n v="0"/>
    <m/>
    <m/>
    <m/>
    <m/>
    <m/>
    <n v="16957"/>
    <m/>
    <m/>
  </r>
  <r>
    <x v="5"/>
    <d v="2024-10-31T00:00:00"/>
    <s v="REC"/>
    <s v="X"/>
    <s v="0001"/>
    <s v="20241031"/>
    <x v="64"/>
    <n v="30111111111"/>
    <s v="Cadete"/>
    <s v="ARS"/>
    <n v="1"/>
    <n v="64400"/>
    <n v="0"/>
    <n v="0"/>
    <n v="0"/>
    <n v="0"/>
    <n v="0"/>
    <n v="0"/>
    <n v="0"/>
    <n v="0"/>
    <n v="0"/>
    <n v="64400"/>
    <n v="64400"/>
    <n v="0"/>
    <x v="1"/>
    <m/>
    <d v="2024-10-31T00:00:00"/>
    <n v="0"/>
    <m/>
    <m/>
    <m/>
    <m/>
    <m/>
    <n v="64400"/>
    <m/>
    <m/>
  </r>
  <r>
    <x v="5"/>
    <d v="2024-10-31T00:00:00"/>
    <s v="FAC"/>
    <s v="C"/>
    <s v="0001"/>
    <s v="00000011"/>
    <x v="125"/>
    <n v="20406602681"/>
    <s v="Honorarios Profesionales - Derivaciones Pacientes Samec"/>
    <s v="ARS"/>
    <n v="1"/>
    <n v="700000"/>
    <n v="0"/>
    <n v="0"/>
    <n v="0"/>
    <n v="0"/>
    <n v="0"/>
    <n v="0"/>
    <n v="0"/>
    <n v="0"/>
    <n v="0"/>
    <n v="700000"/>
    <n v="700000"/>
    <n v="0"/>
    <x v="1"/>
    <m/>
    <d v="2024-10-31T00:00:00"/>
    <n v="700000"/>
    <m/>
    <m/>
    <m/>
    <m/>
    <m/>
    <n v="0"/>
    <m/>
    <m/>
  </r>
  <r>
    <x v="5"/>
    <d v="2024-10-31T00:00:00"/>
    <s v="FAC"/>
    <s v="A"/>
    <s v="0004"/>
    <s v="00052997"/>
    <x v="1"/>
    <n v="30708764236"/>
    <s v="Suministro oxigeno P2024-10"/>
    <s v="ARS"/>
    <n v="1"/>
    <n v="6873700.7300000004"/>
    <n v="1443477.1533000001"/>
    <n v="0"/>
    <n v="0"/>
    <n v="0"/>
    <n v="0"/>
    <n v="0"/>
    <n v="0"/>
    <n v="0"/>
    <n v="1443477.1533000001"/>
    <n v="8317177.8833000008"/>
    <n v="8317177.8833000008"/>
    <m/>
    <x v="0"/>
    <m/>
    <m/>
    <m/>
    <m/>
    <m/>
    <m/>
    <m/>
    <m/>
    <m/>
    <m/>
    <m/>
  </r>
  <r>
    <x v="5"/>
    <d v="2024-10-31T00:00:00"/>
    <s v="FAC"/>
    <s v="A"/>
    <s v="0004"/>
    <s v="00052977"/>
    <x v="1"/>
    <n v="30708764236"/>
    <s v="Dioxido de carbono medicinal + flete"/>
    <s v="ARS"/>
    <n v="1"/>
    <n v="74916.06"/>
    <n v="15732.372599999999"/>
    <n v="0"/>
    <n v="0"/>
    <n v="0"/>
    <n v="0"/>
    <n v="0"/>
    <n v="0"/>
    <n v="0"/>
    <n v="15732.372599999999"/>
    <n v="90648.4326"/>
    <n v="90648.4326"/>
    <m/>
    <x v="0"/>
    <m/>
    <m/>
    <m/>
    <m/>
    <m/>
    <m/>
    <m/>
    <m/>
    <m/>
    <m/>
    <m/>
  </r>
  <r>
    <x v="5"/>
    <d v="2024-10-31T00:00:00"/>
    <s v="FAC"/>
    <s v="A"/>
    <s v="0004"/>
    <s v="00052973"/>
    <x v="1"/>
    <n v="30708764236"/>
    <s v="Alquiler Uso Tubo y Termo Medicinal P2024-10"/>
    <s v="ARS"/>
    <n v="1"/>
    <n v="279242.09999999998"/>
    <n v="58640.840999999993"/>
    <n v="0"/>
    <n v="0"/>
    <n v="0"/>
    <n v="0"/>
    <n v="0"/>
    <n v="0"/>
    <n v="0"/>
    <n v="58640.840999999993"/>
    <n v="337882.94099999999"/>
    <n v="337882.94099999999"/>
    <m/>
    <x v="0"/>
    <m/>
    <m/>
    <m/>
    <m/>
    <m/>
    <m/>
    <m/>
    <m/>
    <m/>
    <m/>
    <m/>
  </r>
  <r>
    <x v="5"/>
    <d v="2024-10-31T00:00:00"/>
    <s v="FAC"/>
    <s v="A"/>
    <s v="0006"/>
    <s v="00024134"/>
    <x v="17"/>
    <n v="30663625485"/>
    <s v="Servicio Recoleccion Residuos Patogenos P2024-10"/>
    <s v="ARS"/>
    <n v="1"/>
    <n v="1778212.8"/>
    <n v="373424.68800000002"/>
    <n v="0"/>
    <n v="0"/>
    <n v="0"/>
    <n v="0"/>
    <n v="0"/>
    <n v="0"/>
    <m/>
    <n v="373424.68800000002"/>
    <n v="2151637.4879999999"/>
    <n v="2151637.4879999999"/>
    <m/>
    <x v="0"/>
    <m/>
    <m/>
    <m/>
    <m/>
    <m/>
    <m/>
    <m/>
    <m/>
    <m/>
    <m/>
    <m/>
  </r>
  <r>
    <x v="6"/>
    <d v="2024-11-01T00:00:00"/>
    <s v="FAC"/>
    <s v="C"/>
    <s v="0002"/>
    <s v="00001844"/>
    <x v="27"/>
    <n v="20105424605"/>
    <s v="Fotocopias - Insumos de librería y oficina"/>
    <s v="ARS"/>
    <n v="1"/>
    <n v="23940"/>
    <n v="0"/>
    <n v="0"/>
    <n v="0"/>
    <n v="0"/>
    <n v="0"/>
    <n v="0"/>
    <n v="0"/>
    <n v="0"/>
    <n v="0"/>
    <n v="23940"/>
    <n v="23940"/>
    <n v="0"/>
    <x v="1"/>
    <m/>
    <d v="2024-11-01T00:00:00"/>
    <n v="0"/>
    <m/>
    <m/>
    <m/>
    <m/>
    <m/>
    <n v="23940"/>
    <m/>
    <m/>
  </r>
  <r>
    <x v="6"/>
    <d v="2024-11-01T00:00:00"/>
    <s v="A cuenta"/>
    <m/>
    <m/>
    <m/>
    <x v="4"/>
    <m/>
    <s v="Honorarios Estudio Contable Octubre 2024"/>
    <s v="ARS"/>
    <n v="1"/>
    <n v="800000"/>
    <n v="0"/>
    <n v="0"/>
    <n v="0"/>
    <n v="0"/>
    <n v="0"/>
    <n v="0"/>
    <n v="0"/>
    <n v="0"/>
    <n v="0"/>
    <n v="800000"/>
    <n v="800000"/>
    <n v="0"/>
    <x v="1"/>
    <m/>
    <m/>
    <m/>
    <m/>
    <m/>
    <m/>
    <m/>
    <m/>
    <m/>
    <m/>
    <m/>
  </r>
  <r>
    <x v="6"/>
    <d v="2024-11-01T00:00:00"/>
    <s v="FAC"/>
    <s v="A"/>
    <s v="0002"/>
    <s v="00023172"/>
    <x v="3"/>
    <n v="30715721461"/>
    <s v="Suministro de agua P2024-11"/>
    <s v="ARS"/>
    <n v="1"/>
    <n v="51000"/>
    <n v="10710"/>
    <n v="0"/>
    <n v="0"/>
    <n v="0"/>
    <n v="0"/>
    <n v="0"/>
    <n v="0"/>
    <n v="0"/>
    <n v="10710"/>
    <n v="61710"/>
    <n v="61710"/>
    <m/>
    <x v="0"/>
    <m/>
    <m/>
    <m/>
    <m/>
    <m/>
    <m/>
    <m/>
    <m/>
    <m/>
    <m/>
    <m/>
  </r>
  <r>
    <x v="6"/>
    <d v="2024-11-01T00:00:00"/>
    <s v="FAC"/>
    <s v="A"/>
    <s v="0001"/>
    <s v="00000786"/>
    <x v="24"/>
    <n v="30716190311"/>
    <s v="Servicio Mantenimiento Sistema Freya P2024-11"/>
    <s v="ARS"/>
    <n v="1"/>
    <n v="1400000"/>
    <n v="294000"/>
    <n v="0"/>
    <n v="0"/>
    <n v="0"/>
    <n v="0"/>
    <n v="0"/>
    <n v="0"/>
    <n v="0"/>
    <n v="294000"/>
    <n v="1694000"/>
    <n v="1694000"/>
    <n v="0"/>
    <x v="1"/>
    <m/>
    <d v="2024-11-25T00:00:00"/>
    <n v="1694000"/>
    <m/>
    <m/>
    <m/>
    <m/>
    <m/>
    <n v="0"/>
    <m/>
    <m/>
  </r>
  <r>
    <x v="6"/>
    <d v="2024-11-02T00:00:00"/>
    <s v="FAC"/>
    <s v="A"/>
    <s v="0004"/>
    <s v="00000735"/>
    <x v="28"/>
    <n v="20138455654"/>
    <s v="Toner Alternativo"/>
    <s v="ARS"/>
    <n v="1"/>
    <n v="11074.38"/>
    <n v="2325.6197999999999"/>
    <n v="0"/>
    <n v="0"/>
    <n v="0"/>
    <n v="0"/>
    <n v="0"/>
    <n v="0"/>
    <n v="0"/>
    <n v="2325.6197999999999"/>
    <n v="13399.9998"/>
    <n v="13399.9998"/>
    <n v="0"/>
    <x v="1"/>
    <m/>
    <d v="2024-11-02T00:00:00"/>
    <n v="0"/>
    <m/>
    <m/>
    <m/>
    <m/>
    <m/>
    <n v="13399.9998"/>
    <m/>
    <m/>
  </r>
  <r>
    <x v="6"/>
    <d v="2024-11-02T00:00:00"/>
    <s v="REC"/>
    <s v="X"/>
    <s v="0001"/>
    <s v="20241102"/>
    <x v="64"/>
    <n v="30111111111"/>
    <s v="Cadete"/>
    <s v="ARS"/>
    <n v="1"/>
    <n v="1500"/>
    <n v="0"/>
    <n v="0"/>
    <n v="0"/>
    <n v="0"/>
    <n v="0"/>
    <n v="0"/>
    <n v="0"/>
    <n v="0"/>
    <n v="0"/>
    <n v="1500"/>
    <n v="1500"/>
    <n v="0"/>
    <x v="1"/>
    <m/>
    <d v="2024-11-02T00:00:00"/>
    <n v="0"/>
    <m/>
    <m/>
    <m/>
    <m/>
    <m/>
    <n v="1500"/>
    <m/>
    <m/>
  </r>
  <r>
    <x v="6"/>
    <d v="2024-11-04T00:00:00"/>
    <s v="FAC"/>
    <s v="A"/>
    <s v="0003"/>
    <s v="00007050"/>
    <x v="38"/>
    <n v="30709462306"/>
    <s v="Lavanderia P2024-10"/>
    <s v="ARS"/>
    <n v="1"/>
    <n v="582549.35"/>
    <n v="122335.36349999999"/>
    <n v="0"/>
    <n v="0"/>
    <n v="0"/>
    <n v="0"/>
    <n v="0"/>
    <n v="0"/>
    <n v="0"/>
    <n v="122335.36349999999"/>
    <n v="704884.71349999995"/>
    <n v="704884.71349999995"/>
    <m/>
    <x v="0"/>
    <m/>
    <m/>
    <m/>
    <m/>
    <m/>
    <m/>
    <m/>
    <m/>
    <m/>
    <m/>
    <m/>
  </r>
  <r>
    <x v="6"/>
    <d v="2024-11-04T00:00:00"/>
    <s v="FAC"/>
    <s v="A"/>
    <s v="0003"/>
    <s v="00000392"/>
    <x v="163"/>
    <n v="33714950709"/>
    <s v="Guante de polietileno"/>
    <s v="ARS"/>
    <n v="1"/>
    <n v="37190.25"/>
    <n v="7809.9524999999994"/>
    <n v="0"/>
    <n v="0"/>
    <n v="0"/>
    <n v="0"/>
    <n v="0"/>
    <n v="0"/>
    <n v="0"/>
    <n v="7809.9524999999994"/>
    <n v="45000.202499999999"/>
    <n v="45000.202499999999"/>
    <m/>
    <x v="0"/>
    <m/>
    <m/>
    <m/>
    <m/>
    <m/>
    <m/>
    <m/>
    <m/>
    <m/>
    <m/>
    <m/>
  </r>
  <r>
    <x v="6"/>
    <d v="2024-11-04T00:00:00"/>
    <s v="FAC"/>
    <s v="A"/>
    <s v="0020"/>
    <s v="00053863"/>
    <x v="127"/>
    <n v="20231672355"/>
    <s v="Insumos de oficina para impresora"/>
    <s v="ARS"/>
    <n v="1"/>
    <n v="5707.44"/>
    <n v="1198.5623999999998"/>
    <n v="0"/>
    <n v="0"/>
    <n v="0"/>
    <n v="0"/>
    <n v="0"/>
    <n v="0"/>
    <n v="0"/>
    <n v="1198.5623999999998"/>
    <n v="6906.0023999999994"/>
    <n v="6906.0023999999994"/>
    <n v="0"/>
    <x v="1"/>
    <m/>
    <d v="2024-11-04T00:00:00"/>
    <n v="0"/>
    <m/>
    <m/>
    <m/>
    <m/>
    <m/>
    <n v="6906.0023999999994"/>
    <m/>
    <m/>
  </r>
  <r>
    <x v="6"/>
    <d v="2024-11-05T00:00:00"/>
    <s v="FAC"/>
    <s v="C"/>
    <s v="0003"/>
    <s v="00000266"/>
    <x v="0"/>
    <n v="20139171927"/>
    <s v="Mantenimiento de ascensores P2024-10"/>
    <s v="ARS"/>
    <n v="1"/>
    <n v="12000"/>
    <n v="0"/>
    <n v="0"/>
    <n v="0"/>
    <n v="0"/>
    <n v="0"/>
    <n v="0"/>
    <n v="0"/>
    <n v="0"/>
    <n v="0"/>
    <n v="12000"/>
    <n v="12000"/>
    <m/>
    <x v="0"/>
    <m/>
    <m/>
    <m/>
    <m/>
    <m/>
    <m/>
    <m/>
    <m/>
    <m/>
    <m/>
    <m/>
  </r>
  <r>
    <x v="6"/>
    <d v="2024-11-05T00:00:00"/>
    <s v="FAC"/>
    <s v="A"/>
    <s v="0003"/>
    <s v="00002338"/>
    <x v="5"/>
    <n v="30714721301"/>
    <s v="Suministro mensual oxigeno P2024-10"/>
    <s v="ARS"/>
    <n v="1"/>
    <n v="1419595.74"/>
    <n v="298115.1054"/>
    <n v="0"/>
    <n v="0"/>
    <n v="0"/>
    <n v="0"/>
    <n v="0"/>
    <n v="51105.446640000009"/>
    <n v="0"/>
    <n v="298115.1054"/>
    <n v="1768816.29204"/>
    <n v="1768816.29204"/>
    <n v="47641.9"/>
    <x v="1"/>
    <m/>
    <d v="2024-12-09T00:00:00"/>
    <n v="3199552.2706400002"/>
    <m/>
    <m/>
    <m/>
    <m/>
    <m/>
    <n v="0"/>
    <m/>
    <m/>
  </r>
  <r>
    <x v="6"/>
    <d v="2024-11-05T00:00:00"/>
    <s v="FAC"/>
    <s v="C"/>
    <s v="0001"/>
    <s v="00000011"/>
    <x v="66"/>
    <n v="20356277490"/>
    <s v="Honorarios Guardias Medicas Piso P2024-10"/>
    <s v="ARS"/>
    <n v="1"/>
    <n v="880800"/>
    <n v="0"/>
    <n v="0"/>
    <n v="0"/>
    <n v="0"/>
    <n v="0"/>
    <n v="0"/>
    <n v="0"/>
    <n v="0"/>
    <n v="0"/>
    <n v="880800"/>
    <n v="880800"/>
    <n v="0"/>
    <x v="1"/>
    <m/>
    <d v="2024-11-14T00:00:00"/>
    <n v="880800"/>
    <m/>
    <m/>
    <m/>
    <m/>
    <m/>
    <n v="0"/>
    <m/>
    <m/>
  </r>
  <r>
    <x v="6"/>
    <d v="2024-11-05T00:00:00"/>
    <s v="FAC"/>
    <s v="C"/>
    <s v="0001"/>
    <s v="00000012"/>
    <x v="66"/>
    <n v="20356277490"/>
    <s v="Honorarios Guardias Medicas UTI P2024-10"/>
    <s v="ARS"/>
    <n v="1"/>
    <n v="1084000"/>
    <n v="0"/>
    <n v="0"/>
    <n v="0"/>
    <n v="0"/>
    <n v="0"/>
    <n v="0"/>
    <n v="0"/>
    <n v="0"/>
    <n v="0"/>
    <n v="1084000"/>
    <n v="1084000"/>
    <n v="0"/>
    <x v="1"/>
    <m/>
    <d v="2024-11-14T00:00:00"/>
    <n v="1084000"/>
    <m/>
    <m/>
    <m/>
    <m/>
    <m/>
    <n v="0"/>
    <m/>
    <m/>
  </r>
  <r>
    <x v="6"/>
    <d v="2024-11-05T00:00:00"/>
    <s v="FAC"/>
    <s v="C"/>
    <s v="0001"/>
    <s v="00000021"/>
    <x v="52"/>
    <n v="20407752458"/>
    <s v="Honorarios Médicos Piso P2024-10"/>
    <s v="ARS"/>
    <n v="1"/>
    <n v="1516000"/>
    <n v="0"/>
    <n v="0"/>
    <n v="0"/>
    <n v="0"/>
    <n v="0"/>
    <n v="0"/>
    <n v="0"/>
    <n v="0"/>
    <n v="0"/>
    <n v="1516000"/>
    <n v="1516000"/>
    <n v="0"/>
    <x v="1"/>
    <m/>
    <d v="2024-11-14T00:00:00"/>
    <n v="1516000"/>
    <m/>
    <m/>
    <m/>
    <m/>
    <m/>
    <n v="0"/>
    <m/>
    <m/>
  </r>
  <r>
    <x v="6"/>
    <d v="2024-11-06T00:00:00"/>
    <s v="FAC"/>
    <s v="A"/>
    <s v="0004"/>
    <s v="00001055"/>
    <x v="164"/>
    <n v="20181464877"/>
    <s v="Insumos para quirofano"/>
    <s v="ARS"/>
    <n v="1"/>
    <n v="275400"/>
    <n v="57834"/>
    <n v="0"/>
    <n v="0"/>
    <n v="0"/>
    <n v="0"/>
    <n v="0"/>
    <n v="0"/>
    <n v="0"/>
    <n v="57834"/>
    <n v="333234"/>
    <n v="333234"/>
    <n v="0"/>
    <x v="1"/>
    <m/>
    <d v="2024-11-06T00:00:00"/>
    <n v="0"/>
    <m/>
    <m/>
    <m/>
    <m/>
    <m/>
    <n v="333234"/>
    <m/>
    <m/>
  </r>
  <r>
    <x v="6"/>
    <d v="2024-11-06T00:00:00"/>
    <s v="FAC"/>
    <s v="C"/>
    <s v="0002"/>
    <s v="00000947"/>
    <x v="165"/>
    <n v="27138441755"/>
    <s v="Escalera N° 5"/>
    <s v="ARS"/>
    <n v="1"/>
    <n v="30000"/>
    <n v="0"/>
    <n v="0"/>
    <n v="0"/>
    <n v="0"/>
    <n v="0"/>
    <n v="0"/>
    <n v="0"/>
    <n v="0"/>
    <n v="0"/>
    <n v="30000"/>
    <n v="30000"/>
    <n v="0"/>
    <x v="1"/>
    <m/>
    <d v="2024-11-06T00:00:00"/>
    <n v="0"/>
    <m/>
    <m/>
    <m/>
    <m/>
    <m/>
    <n v="30000"/>
    <m/>
    <m/>
  </r>
  <r>
    <x v="6"/>
    <d v="2024-11-06T00:00:00"/>
    <s v="FAC"/>
    <s v="A"/>
    <s v="0003"/>
    <s v="00006544"/>
    <x v="22"/>
    <n v="33716385359"/>
    <s v="Insumos de Farmacia"/>
    <s v="ARS"/>
    <n v="1"/>
    <n v="369589"/>
    <n v="77613.69"/>
    <n v="0"/>
    <n v="0"/>
    <n v="0"/>
    <n v="2089850"/>
    <n v="0"/>
    <n v="88539.804000000004"/>
    <n v="0"/>
    <n v="77613.69"/>
    <n v="2625592.4939999999"/>
    <n v="2625592.4939999999"/>
    <m/>
    <x v="1"/>
    <m/>
    <d v="2024-12-09T00:00:00"/>
    <m/>
    <m/>
    <m/>
    <m/>
    <m/>
    <m/>
    <m/>
    <m/>
    <s v="CH 9/1 y 9/2"/>
  </r>
  <r>
    <x v="6"/>
    <d v="2024-11-06T00:00:00"/>
    <s v="FAC"/>
    <s v="A"/>
    <s v="0003"/>
    <s v="00006543"/>
    <x v="22"/>
    <n v="33716385359"/>
    <s v="Insumos de Farmacia"/>
    <s v="ARS"/>
    <n v="1"/>
    <n v="0"/>
    <n v="0"/>
    <n v="0"/>
    <n v="0"/>
    <n v="0"/>
    <n v="270800"/>
    <n v="0"/>
    <n v="9748.8000000000011"/>
    <n v="0"/>
    <n v="0"/>
    <n v="280548.8"/>
    <n v="280548.8"/>
    <m/>
    <x v="1"/>
    <m/>
    <d v="2024-12-09T00:00:00"/>
    <m/>
    <m/>
    <m/>
    <m/>
    <m/>
    <m/>
    <m/>
    <m/>
    <s v="CH 9/1 y 9/2"/>
  </r>
  <r>
    <x v="6"/>
    <d v="2024-11-06T00:00:00"/>
    <s v="FAC"/>
    <s v="A"/>
    <s v="0006"/>
    <s v="00019246"/>
    <x v="79"/>
    <n v="20072806078"/>
    <s v="Materiales de iluminación para construcción"/>
    <s v="ARS"/>
    <n v="1"/>
    <n v="241459.76"/>
    <n v="47915.56"/>
    <n v="1395.5"/>
    <n v="0"/>
    <n v="0"/>
    <n v="0"/>
    <m/>
    <n v="0"/>
    <n v="0"/>
    <n v="49311.06"/>
    <n v="290770.82"/>
    <n v="290770.82"/>
    <m/>
    <x v="1"/>
    <m/>
    <d v="2024-11-06T00:00:00"/>
    <n v="0"/>
    <m/>
    <m/>
    <m/>
    <m/>
    <m/>
    <n v="290770.82"/>
    <m/>
    <m/>
  </r>
  <r>
    <x v="6"/>
    <d v="2024-11-06T00:00:00"/>
    <s v="FAC"/>
    <s v="C"/>
    <s v="0001"/>
    <s v="00000082"/>
    <x v="56"/>
    <n v="27362344072"/>
    <s v="Honorarios Medicos Piso P2024-10"/>
    <s v="ARS"/>
    <n v="1"/>
    <n v="1014000"/>
    <n v="0"/>
    <n v="0"/>
    <n v="0"/>
    <n v="0"/>
    <n v="0"/>
    <n v="0"/>
    <n v="0"/>
    <n v="0"/>
    <n v="0"/>
    <n v="1014000"/>
    <n v="1014000"/>
    <n v="0"/>
    <x v="1"/>
    <m/>
    <d v="2024-11-14T00:00:00"/>
    <n v="1014000"/>
    <m/>
    <m/>
    <m/>
    <m/>
    <m/>
    <n v="0"/>
    <m/>
    <m/>
  </r>
  <r>
    <x v="6"/>
    <d v="2024-11-06T00:00:00"/>
    <s v="FAC"/>
    <s v="C"/>
    <s v="0001"/>
    <s v="00000038"/>
    <x v="67"/>
    <n v="20352639606"/>
    <s v="Honorarios Guardias Medicas UTI P2024-09"/>
    <s v="ARS"/>
    <n v="1"/>
    <n v="1011600"/>
    <n v="0"/>
    <n v="0"/>
    <n v="0"/>
    <n v="0"/>
    <n v="0"/>
    <n v="0"/>
    <n v="0"/>
    <n v="0"/>
    <n v="0"/>
    <n v="1011600"/>
    <n v="1011600"/>
    <n v="0"/>
    <x v="1"/>
    <m/>
    <d v="2024-11-14T00:00:00"/>
    <n v="1011600"/>
    <m/>
    <m/>
    <m/>
    <m/>
    <m/>
    <n v="0"/>
    <m/>
    <m/>
  </r>
  <r>
    <x v="6"/>
    <d v="2024-11-07T00:00:00"/>
    <s v="FAC"/>
    <s v="C"/>
    <s v="0002"/>
    <s v="00000298"/>
    <x v="132"/>
    <n v="27332358435"/>
    <s v="Honorarios Dirección Obra P2024-10"/>
    <s v="ARS"/>
    <n v="1"/>
    <n v="400000"/>
    <n v="0"/>
    <n v="0"/>
    <n v="0"/>
    <n v="0"/>
    <n v="0"/>
    <n v="0"/>
    <n v="0"/>
    <n v="0"/>
    <n v="0"/>
    <n v="400000"/>
    <n v="400000"/>
    <n v="0"/>
    <x v="1"/>
    <m/>
    <d v="2024-10-08T00:00:00"/>
    <n v="400000"/>
    <m/>
    <m/>
    <m/>
    <m/>
    <m/>
    <n v="0"/>
    <m/>
    <m/>
  </r>
  <r>
    <x v="6"/>
    <d v="2024-11-08T00:00:00"/>
    <s v="FAC"/>
    <s v="C"/>
    <s v="0002"/>
    <s v="00000021"/>
    <x v="149"/>
    <n v="20258842244"/>
    <s v="Confeccion de escalera marinera"/>
    <s v="ARS"/>
    <n v="1"/>
    <n v="480000"/>
    <n v="0"/>
    <n v="0"/>
    <n v="0"/>
    <n v="0"/>
    <n v="0"/>
    <n v="0"/>
    <n v="0"/>
    <n v="0"/>
    <n v="0"/>
    <n v="480000"/>
    <n v="480000"/>
    <n v="0"/>
    <x v="3"/>
    <m/>
    <d v="2024-11-08T00:00:00"/>
    <n v="240000"/>
    <m/>
    <m/>
    <m/>
    <m/>
    <m/>
    <n v="0"/>
    <m/>
    <m/>
  </r>
  <r>
    <x v="6"/>
    <d v="2024-11-08T00:00:00"/>
    <s v="FAC"/>
    <s v="A"/>
    <s v="0101"/>
    <s v="01480246"/>
    <x v="29"/>
    <n v="30690633635"/>
    <s v="Suministro de luz mensual P2024-10 (Factura a nombre de CHAHLE)"/>
    <s v="ARS"/>
    <n v="1"/>
    <n v="2140816.4699999997"/>
    <n v="93.67"/>
    <n v="0"/>
    <n v="566404.4"/>
    <n v="0"/>
    <n v="0"/>
    <n v="0"/>
    <n v="0"/>
    <n v="224010.91999999998"/>
    <n v="566498.07000000007"/>
    <n v="2931325.4599999995"/>
    <n v="2931325.4599999995"/>
    <n v="0"/>
    <x v="1"/>
    <m/>
    <d v="2024-11-20T00:00:00"/>
    <n v="2931325.4599999995"/>
    <m/>
    <m/>
    <m/>
    <m/>
    <m/>
    <n v="0"/>
    <m/>
    <m/>
  </r>
  <r>
    <x v="6"/>
    <d v="2024-11-10T00:00:00"/>
    <s v="FAC"/>
    <s v="C"/>
    <s v="0002"/>
    <s v="00000153"/>
    <x v="84"/>
    <n v="20271839503"/>
    <s v="Honorarios Medicos P2024-10"/>
    <s v="ARS"/>
    <n v="1"/>
    <n v="260137.49"/>
    <n v="0"/>
    <n v="0"/>
    <n v="0"/>
    <n v="0"/>
    <n v="0"/>
    <n v="0"/>
    <n v="0"/>
    <n v="0"/>
    <n v="0"/>
    <n v="260137.49"/>
    <n v="260137.49"/>
    <n v="0"/>
    <x v="1"/>
    <m/>
    <d v="2024-11-19T00:00:00"/>
    <n v="260137.49"/>
    <m/>
    <m/>
    <m/>
    <m/>
    <m/>
    <n v="0"/>
    <m/>
    <m/>
  </r>
  <r>
    <x v="6"/>
    <d v="2024-11-11T00:00:00"/>
    <s v="FAC"/>
    <s v="A"/>
    <s v="0002"/>
    <s v="00003389"/>
    <x v="43"/>
    <n v="30712291237"/>
    <s v="Equipo de cirugia Mayor esteril descartable"/>
    <s v="ARS"/>
    <n v="1"/>
    <n v="599798"/>
    <n v="125957.58"/>
    <n v="0"/>
    <n v="0"/>
    <n v="0"/>
    <n v="0"/>
    <n v="0"/>
    <n v="0"/>
    <n v="0"/>
    <n v="125957.58"/>
    <n v="725755.58"/>
    <n v="725755.58"/>
    <n v="0"/>
    <x v="0"/>
    <m/>
    <m/>
    <m/>
    <m/>
    <m/>
    <m/>
    <m/>
    <m/>
    <m/>
    <m/>
    <m/>
  </r>
  <r>
    <x v="6"/>
    <d v="2024-11-11T00:00:00"/>
    <s v="FAC"/>
    <s v="A"/>
    <s v="0003"/>
    <s v="00006567"/>
    <x v="22"/>
    <n v="33716385359"/>
    <s v="Insumos de Farmacia"/>
    <s v="ARS"/>
    <n v="1"/>
    <n v="21000"/>
    <n v="4410"/>
    <n v="0"/>
    <n v="0"/>
    <n v="0"/>
    <n v="0"/>
    <n v="0"/>
    <n v="756.00000000000011"/>
    <n v="0"/>
    <n v="4410"/>
    <n v="26166"/>
    <n v="26166"/>
    <m/>
    <x v="1"/>
    <m/>
    <d v="2024-12-09T00:00:00"/>
    <m/>
    <m/>
    <m/>
    <m/>
    <m/>
    <m/>
    <m/>
    <m/>
    <s v="CH 9/1 y 9/2"/>
  </r>
  <r>
    <x v="6"/>
    <d v="2024-11-11T00:00:00"/>
    <s v="FAC"/>
    <s v="A"/>
    <s v="0020"/>
    <s v="00054349"/>
    <x v="127"/>
    <n v="20231672355"/>
    <s v="Insumos de oficina para impresora"/>
    <s v="ARS"/>
    <n v="1"/>
    <n v="30850"/>
    <n v="6478.5"/>
    <n v="0"/>
    <n v="0"/>
    <n v="0"/>
    <n v="0"/>
    <n v="0"/>
    <n v="0"/>
    <n v="0"/>
    <n v="6478.5"/>
    <n v="37328.5"/>
    <n v="37328.5"/>
    <n v="0"/>
    <x v="1"/>
    <m/>
    <d v="2024-11-11T00:00:00"/>
    <n v="0"/>
    <m/>
    <m/>
    <m/>
    <m/>
    <m/>
    <n v="37328.5"/>
    <m/>
    <m/>
  </r>
  <r>
    <x v="6"/>
    <d v="2024-11-11T00:00:00"/>
    <s v="REC"/>
    <s v="X"/>
    <s v="0001"/>
    <s v="20241111"/>
    <x v="64"/>
    <n v="30111111111"/>
    <s v="Cadete"/>
    <s v="ARS"/>
    <n v="1"/>
    <n v="1500"/>
    <n v="0"/>
    <n v="0"/>
    <n v="0"/>
    <n v="0"/>
    <n v="0"/>
    <n v="0"/>
    <n v="0"/>
    <n v="0"/>
    <n v="0"/>
    <n v="1500"/>
    <n v="1500"/>
    <n v="0"/>
    <x v="1"/>
    <m/>
    <d v="2024-11-11T00:00:00"/>
    <n v="0"/>
    <m/>
    <m/>
    <m/>
    <m/>
    <m/>
    <n v="1500"/>
    <m/>
    <m/>
  </r>
  <r>
    <x v="6"/>
    <d v="2024-11-11T00:00:00"/>
    <s v="FAC"/>
    <s v="C"/>
    <s v="0002"/>
    <s v="00000856"/>
    <x v="10"/>
    <n v="20222549788"/>
    <s v="Soporte Sistema Informatico P2024-10"/>
    <s v="ARS"/>
    <n v="1"/>
    <n v="266493"/>
    <n v="0"/>
    <n v="0"/>
    <n v="0"/>
    <n v="0"/>
    <n v="0"/>
    <n v="0"/>
    <n v="0"/>
    <n v="0"/>
    <n v="0"/>
    <n v="266493"/>
    <n v="266493"/>
    <m/>
    <x v="1"/>
    <m/>
    <d v="2024-12-02T00:00:00"/>
    <n v="266493"/>
    <m/>
    <m/>
    <m/>
    <m/>
    <m/>
    <m/>
    <m/>
    <m/>
  </r>
  <r>
    <x v="6"/>
    <d v="2024-11-11T00:00:00"/>
    <s v="FAC"/>
    <s v="C"/>
    <s v="0003"/>
    <s v="00000109"/>
    <x v="16"/>
    <n v="20306364945"/>
    <s v="Reparacion de electobisturi y conexiones internas placa de retorno"/>
    <s v="ARS"/>
    <n v="1"/>
    <n v="250000"/>
    <n v="0"/>
    <n v="0"/>
    <n v="0"/>
    <n v="0"/>
    <n v="0"/>
    <n v="0"/>
    <n v="0"/>
    <n v="0"/>
    <n v="0"/>
    <n v="250000"/>
    <n v="250000"/>
    <n v="0"/>
    <x v="1"/>
    <m/>
    <d v="2024-11-08T00:00:00"/>
    <n v="273032"/>
    <m/>
    <m/>
    <m/>
    <m/>
    <m/>
    <n v="0"/>
    <m/>
    <m/>
  </r>
  <r>
    <x v="6"/>
    <d v="2024-11-11T00:00:00"/>
    <s v="FAC"/>
    <s v="C"/>
    <s v="0001"/>
    <s v="00000037"/>
    <x v="76"/>
    <n v="20306367553"/>
    <s v="Honorarios Medicos Guardias UTI P2024-10"/>
    <s v="ARS"/>
    <n v="1"/>
    <n v="240000"/>
    <n v="0"/>
    <n v="0"/>
    <n v="0"/>
    <n v="0"/>
    <n v="0"/>
    <n v="0"/>
    <n v="0"/>
    <n v="0"/>
    <n v="0"/>
    <n v="240000"/>
    <n v="240000"/>
    <n v="0"/>
    <x v="1"/>
    <m/>
    <d v="2024-11-14T00:00:00"/>
    <n v="240000"/>
    <m/>
    <m/>
    <m/>
    <m/>
    <m/>
    <n v="0"/>
    <m/>
    <m/>
  </r>
  <r>
    <x v="6"/>
    <d v="2024-11-11T00:00:00"/>
    <s v="FAC"/>
    <s v="C"/>
    <s v="0002"/>
    <s v="00000230"/>
    <x v="82"/>
    <n v="27328052887"/>
    <s v="Honorarios Medicos UTI P2024-10"/>
    <s v="ARS"/>
    <n v="1"/>
    <n v="756000"/>
    <n v="0"/>
    <n v="0"/>
    <n v="0"/>
    <n v="0"/>
    <n v="0"/>
    <n v="0"/>
    <n v="0"/>
    <n v="0"/>
    <n v="0"/>
    <n v="756000"/>
    <n v="756000"/>
    <n v="0"/>
    <x v="1"/>
    <m/>
    <d v="2024-11-14T00:00:00"/>
    <n v="756000"/>
    <m/>
    <m/>
    <m/>
    <m/>
    <m/>
    <n v="0"/>
    <m/>
    <m/>
  </r>
  <r>
    <x v="6"/>
    <d v="2024-11-11T00:00:00"/>
    <s v="FAC"/>
    <s v="C"/>
    <s v="0002"/>
    <s v="00000049"/>
    <x v="70"/>
    <n v="27405241760"/>
    <s v="Honorarios Guardias Medicas UTI P2024-10"/>
    <s v="ARS"/>
    <n v="1"/>
    <n v="498000"/>
    <n v="0"/>
    <n v="0"/>
    <n v="0"/>
    <n v="0"/>
    <n v="0"/>
    <n v="0"/>
    <n v="0"/>
    <n v="0"/>
    <n v="0"/>
    <n v="498000"/>
    <n v="498000"/>
    <n v="0"/>
    <x v="1"/>
    <m/>
    <d v="2024-11-11T00:00:00"/>
    <n v="498000"/>
    <m/>
    <m/>
    <m/>
    <m/>
    <m/>
    <n v="0"/>
    <m/>
    <m/>
  </r>
  <r>
    <x v="6"/>
    <d v="2024-11-11T00:00:00"/>
    <s v="FAC"/>
    <s v="C"/>
    <s v="0001"/>
    <s v="00000494"/>
    <x v="148"/>
    <n v="27954100699"/>
    <s v="Honorarios Medicos UTI P2024-10"/>
    <s v="ARS"/>
    <n v="1"/>
    <n v="552000"/>
    <n v="0"/>
    <n v="0"/>
    <n v="0"/>
    <n v="0"/>
    <n v="0"/>
    <n v="0"/>
    <n v="0"/>
    <n v="0"/>
    <n v="0"/>
    <n v="552000"/>
    <n v="552000"/>
    <n v="0"/>
    <x v="1"/>
    <m/>
    <d v="2024-11-14T00:00:00"/>
    <n v="552000"/>
    <m/>
    <m/>
    <m/>
    <m/>
    <m/>
    <n v="0"/>
    <m/>
    <m/>
  </r>
  <r>
    <x v="6"/>
    <d v="2024-11-12T00:00:00"/>
    <s v="FAC"/>
    <s v="C"/>
    <s v="0002"/>
    <s v="00000044"/>
    <x v="58"/>
    <n v="20385006226"/>
    <s v="Honorarios Médicos Piso P2024-10"/>
    <s v="ARS"/>
    <n v="1"/>
    <n v="884248"/>
    <n v="0"/>
    <n v="0"/>
    <n v="0"/>
    <n v="0"/>
    <n v="0"/>
    <n v="0"/>
    <n v="0"/>
    <n v="0"/>
    <n v="0"/>
    <n v="884248"/>
    <n v="884248"/>
    <m/>
    <x v="1"/>
    <m/>
    <d v="2024-11-14T00:00:00"/>
    <n v="884248"/>
    <m/>
    <m/>
    <m/>
    <m/>
    <m/>
    <n v="0"/>
    <m/>
    <m/>
  </r>
  <r>
    <x v="6"/>
    <d v="2024-11-12T00:00:00"/>
    <s v="FAC"/>
    <s v="C"/>
    <s v="0002"/>
    <s v="00000103"/>
    <x v="49"/>
    <n v="27299781688"/>
    <s v="Honorarios Medicos Guardias UTI P2024-10"/>
    <s v="ARS"/>
    <n v="1"/>
    <n v="1134000"/>
    <n v="0"/>
    <n v="0"/>
    <n v="0"/>
    <n v="0"/>
    <n v="0"/>
    <n v="0"/>
    <n v="0"/>
    <n v="0"/>
    <n v="0"/>
    <n v="1134000"/>
    <n v="1134000"/>
    <n v="0"/>
    <x v="1"/>
    <m/>
    <d v="2024-11-14T00:00:00"/>
    <n v="1134000"/>
    <m/>
    <m/>
    <m/>
    <m/>
    <m/>
    <n v="0"/>
    <m/>
    <m/>
  </r>
  <r>
    <x v="6"/>
    <d v="2024-11-12T00:00:00"/>
    <s v="FAC"/>
    <s v="C"/>
    <s v="0002"/>
    <s v="00000190"/>
    <x v="166"/>
    <n v="20184335396"/>
    <s v="Honorarios Medicos 9 ordenes de IPS"/>
    <s v="ARS"/>
    <n v="1"/>
    <n v="100639"/>
    <n v="0"/>
    <n v="0"/>
    <n v="0"/>
    <n v="0"/>
    <n v="0"/>
    <n v="0"/>
    <n v="0"/>
    <n v="0"/>
    <n v="0"/>
    <n v="100639"/>
    <n v="100639"/>
    <n v="0"/>
    <x v="1"/>
    <m/>
    <d v="2024-11-19T00:00:00"/>
    <n v="100639"/>
    <m/>
    <m/>
    <m/>
    <m/>
    <m/>
    <n v="0"/>
    <m/>
    <m/>
  </r>
  <r>
    <x v="6"/>
    <d v="2024-11-13T00:00:00"/>
    <s v="FAC"/>
    <s v="C"/>
    <s v="0001"/>
    <s v="00000025"/>
    <x v="89"/>
    <n v="27346203647"/>
    <s v="Honorarios Enfermeria UTI P2024-10"/>
    <s v="ARS"/>
    <n v="1"/>
    <n v="465600"/>
    <n v="0"/>
    <n v="0"/>
    <n v="0"/>
    <n v="0"/>
    <n v="0"/>
    <n v="0"/>
    <n v="0"/>
    <n v="0"/>
    <n v="0"/>
    <n v="465600"/>
    <n v="465600"/>
    <n v="0"/>
    <x v="1"/>
    <m/>
    <d v="2024-11-15T00:00:00"/>
    <n v="465600"/>
    <m/>
    <m/>
    <m/>
    <m/>
    <m/>
    <n v="0"/>
    <m/>
    <m/>
  </r>
  <r>
    <x v="6"/>
    <d v="2024-11-13T00:00:00"/>
    <s v="FAC"/>
    <s v="C"/>
    <s v="0002"/>
    <s v="00000009"/>
    <x v="95"/>
    <n v="27235843604"/>
    <s v="Servicio Enfermeria UTI P2024-10 (Arias Belen)"/>
    <s v="ARS"/>
    <n v="1"/>
    <n v="446400"/>
    <n v="0"/>
    <n v="0"/>
    <n v="0"/>
    <n v="0"/>
    <n v="0"/>
    <n v="0"/>
    <n v="0"/>
    <n v="0"/>
    <n v="0"/>
    <n v="446400"/>
    <n v="446400"/>
    <n v="0"/>
    <x v="1"/>
    <m/>
    <d v="2024-11-15T00:00:00"/>
    <n v="446400"/>
    <m/>
    <m/>
    <m/>
    <m/>
    <m/>
    <n v="0"/>
    <m/>
    <m/>
  </r>
  <r>
    <x v="6"/>
    <d v="2024-11-13T00:00:00"/>
    <s v="FAC"/>
    <s v="C"/>
    <s v="0001"/>
    <s v="00000007"/>
    <x v="103"/>
    <n v="20288248398"/>
    <s v="Honorarios por servicios Piso P2024-10 (Aramayo Angelica)"/>
    <s v="ARS"/>
    <n v="1"/>
    <n v="72000"/>
    <n v="0"/>
    <n v="0"/>
    <n v="0"/>
    <n v="0"/>
    <n v="0"/>
    <n v="0"/>
    <n v="0"/>
    <n v="0"/>
    <n v="0"/>
    <n v="72000"/>
    <n v="72000"/>
    <n v="0"/>
    <x v="1"/>
    <m/>
    <d v="2024-11-15T00:00:00"/>
    <n v="72000"/>
    <m/>
    <m/>
    <m/>
    <m/>
    <m/>
    <n v="0"/>
    <m/>
    <m/>
  </r>
  <r>
    <x v="6"/>
    <d v="2024-11-13T00:00:00"/>
    <s v="FAC"/>
    <s v="C"/>
    <s v="0002"/>
    <s v="00000037"/>
    <x v="88"/>
    <n v="23332501879"/>
    <s v="Servicio Enfermeria UTI P2024-10"/>
    <s v="ARS"/>
    <n v="1"/>
    <n v="518400"/>
    <n v="0"/>
    <n v="0"/>
    <n v="0"/>
    <n v="0"/>
    <n v="0"/>
    <n v="0"/>
    <n v="0"/>
    <n v="0"/>
    <n v="0"/>
    <n v="518400"/>
    <n v="518400"/>
    <n v="0"/>
    <x v="1"/>
    <m/>
    <d v="2024-11-15T00:00:00"/>
    <n v="518400"/>
    <m/>
    <m/>
    <m/>
    <m/>
    <m/>
    <n v="0"/>
    <m/>
    <m/>
  </r>
  <r>
    <x v="6"/>
    <d v="2024-11-13T00:00:00"/>
    <s v="FAC"/>
    <s v="C"/>
    <s v="0002"/>
    <s v="00000022"/>
    <x v="105"/>
    <n v="27382124184"/>
    <s v="Servicio Enfermeria UTI P2024-10"/>
    <s v="ARS"/>
    <n v="1"/>
    <n v="384000"/>
    <n v="0"/>
    <n v="0"/>
    <n v="0"/>
    <n v="0"/>
    <n v="0"/>
    <n v="0"/>
    <n v="0"/>
    <n v="0"/>
    <n v="0"/>
    <n v="384000"/>
    <n v="384000"/>
    <n v="0"/>
    <x v="1"/>
    <m/>
    <d v="2024-11-15T00:00:00"/>
    <n v="384000"/>
    <m/>
    <m/>
    <m/>
    <m/>
    <m/>
    <n v="0"/>
    <m/>
    <m/>
  </r>
  <r>
    <x v="6"/>
    <d v="2024-11-13T00:00:00"/>
    <s v="FAC"/>
    <s v="C"/>
    <s v="0002"/>
    <s v="00000106"/>
    <x v="91"/>
    <n v="27330903908"/>
    <s v="Servicio Enfermeria Piso P2024-10"/>
    <s v="ARS"/>
    <n v="1"/>
    <n v="453600"/>
    <n v="0"/>
    <n v="0"/>
    <n v="0"/>
    <n v="0"/>
    <n v="0"/>
    <n v="0"/>
    <n v="0"/>
    <n v="0"/>
    <n v="0"/>
    <n v="453600"/>
    <n v="453600"/>
    <n v="0"/>
    <x v="1"/>
    <m/>
    <d v="2024-11-15T00:00:00"/>
    <n v="453600"/>
    <m/>
    <m/>
    <m/>
    <m/>
    <m/>
    <n v="0"/>
    <m/>
    <m/>
  </r>
  <r>
    <x v="6"/>
    <d v="2024-11-13T00:00:00"/>
    <s v="FAC"/>
    <s v="C"/>
    <s v="0002"/>
    <s v="00000052"/>
    <x v="99"/>
    <n v="23286334334"/>
    <s v="Honorarios Servicio Enfermeria P2024-10"/>
    <s v="ARS"/>
    <n v="1"/>
    <n v="458400"/>
    <n v="0"/>
    <n v="0"/>
    <n v="0"/>
    <n v="0"/>
    <n v="0"/>
    <n v="0"/>
    <n v="0"/>
    <n v="0"/>
    <n v="0"/>
    <n v="458400"/>
    <n v="458400"/>
    <n v="0"/>
    <x v="1"/>
    <m/>
    <d v="2024-11-15T00:00:00"/>
    <n v="458400"/>
    <m/>
    <m/>
    <m/>
    <m/>
    <m/>
    <n v="0"/>
    <m/>
    <m/>
  </r>
  <r>
    <x v="6"/>
    <d v="2024-11-13T00:00:00"/>
    <s v="FAC"/>
    <s v="C"/>
    <s v="0001"/>
    <s v="00000009"/>
    <x v="104"/>
    <n v="27414097087"/>
    <s v="Servicio Enfermeria Piso P2024-10"/>
    <s v="ARS"/>
    <n v="1"/>
    <n v="120000"/>
    <n v="0"/>
    <n v="0"/>
    <n v="0"/>
    <n v="0"/>
    <n v="0"/>
    <n v="0"/>
    <n v="0"/>
    <n v="0"/>
    <n v="0"/>
    <n v="120000"/>
    <n v="120000"/>
    <n v="0"/>
    <x v="1"/>
    <m/>
    <d v="2024-11-15T00:00:00"/>
    <n v="120000"/>
    <m/>
    <m/>
    <m/>
    <m/>
    <m/>
    <n v="0"/>
    <m/>
    <m/>
  </r>
  <r>
    <x v="6"/>
    <d v="2024-11-13T00:00:00"/>
    <s v="FAC"/>
    <s v="C"/>
    <s v="0001"/>
    <s v="00000057"/>
    <x v="150"/>
    <n v="23373034894"/>
    <s v="Servicios de Quirofano, instrumentación P2024-10 (Guari Tania)"/>
    <s v="ARS"/>
    <n v="1"/>
    <n v="215000"/>
    <n v="0"/>
    <n v="0"/>
    <n v="0"/>
    <m/>
    <n v="0"/>
    <n v="0"/>
    <n v="0"/>
    <n v="0"/>
    <n v="0"/>
    <n v="215000"/>
    <n v="215000"/>
    <n v="0"/>
    <x v="1"/>
    <m/>
    <d v="2024-11-15T00:00:00"/>
    <n v="215000"/>
    <m/>
    <m/>
    <m/>
    <m/>
    <m/>
    <n v="0"/>
    <m/>
    <m/>
  </r>
  <r>
    <x v="6"/>
    <d v="2024-11-13T00:00:00"/>
    <s v="FAC"/>
    <s v="C"/>
    <s v="0001"/>
    <s v="00000077"/>
    <x v="109"/>
    <n v="27357831267"/>
    <s v="Servicio Enfermeria Piso P2024-10"/>
    <s v="ARS"/>
    <n v="1"/>
    <n v="120000"/>
    <n v="0"/>
    <n v="0"/>
    <n v="0"/>
    <n v="0"/>
    <n v="0"/>
    <n v="0"/>
    <n v="0"/>
    <n v="0"/>
    <n v="0"/>
    <n v="120000"/>
    <n v="120000"/>
    <n v="0"/>
    <x v="1"/>
    <m/>
    <d v="2024-11-15T00:00:00"/>
    <n v="120000"/>
    <m/>
    <m/>
    <m/>
    <m/>
    <m/>
    <m/>
    <m/>
    <m/>
  </r>
  <r>
    <x v="6"/>
    <d v="2024-11-14T00:00:00"/>
    <s v="FAC"/>
    <s v="C"/>
    <s v="0001"/>
    <s v="00000005"/>
    <x v="147"/>
    <n v="20399039569"/>
    <s v="Honorarios Medicos UTI P2024-10"/>
    <s v="ARS"/>
    <n v="1"/>
    <n v="360000"/>
    <n v="0"/>
    <n v="0"/>
    <n v="0"/>
    <n v="0"/>
    <n v="0"/>
    <n v="0"/>
    <n v="0"/>
    <n v="0"/>
    <n v="0"/>
    <n v="360000"/>
    <n v="360000"/>
    <n v="0"/>
    <x v="1"/>
    <m/>
    <d v="2024-11-15T00:00:00"/>
    <n v="360000"/>
    <m/>
    <m/>
    <m/>
    <m/>
    <m/>
    <n v="0"/>
    <m/>
    <m/>
  </r>
  <r>
    <x v="6"/>
    <d v="2024-11-14T00:00:00"/>
    <s v="FAC"/>
    <s v="C"/>
    <s v="0001"/>
    <s v="00000004"/>
    <x v="147"/>
    <n v="20399039569"/>
    <s v="Honorarios Medicos Piso P2024-10"/>
    <s v="ARS"/>
    <n v="1"/>
    <n v="2576400"/>
    <n v="0"/>
    <n v="0"/>
    <n v="0"/>
    <n v="0"/>
    <n v="0"/>
    <n v="0"/>
    <n v="0"/>
    <n v="0"/>
    <n v="0"/>
    <n v="2576400"/>
    <n v="2576400"/>
    <n v="0"/>
    <x v="1"/>
    <m/>
    <d v="2024-11-15T00:00:00"/>
    <n v="2576400"/>
    <m/>
    <m/>
    <m/>
    <m/>
    <m/>
    <n v="0"/>
    <m/>
    <m/>
  </r>
  <r>
    <x v="6"/>
    <d v="2024-11-14T00:00:00"/>
    <s v="FAC"/>
    <s v="C"/>
    <s v="0001"/>
    <s v="00000001"/>
    <x v="167"/>
    <n v="27291745046"/>
    <s v="Servicios de Esterilizacion P2024-10"/>
    <s v="ARS"/>
    <n v="1"/>
    <n v="550800"/>
    <n v="0"/>
    <n v="0"/>
    <n v="0"/>
    <n v="0"/>
    <n v="0"/>
    <n v="0"/>
    <n v="0"/>
    <n v="0"/>
    <n v="0"/>
    <n v="550800"/>
    <n v="550800"/>
    <n v="0"/>
    <x v="1"/>
    <m/>
    <d v="2024-11-15T00:00:00"/>
    <n v="550800"/>
    <m/>
    <m/>
    <m/>
    <m/>
    <m/>
    <n v="0"/>
    <m/>
    <m/>
  </r>
  <r>
    <x v="6"/>
    <d v="2024-11-15T00:00:00"/>
    <s v="FAC"/>
    <s v="A"/>
    <s v="0069"/>
    <s v="00001305"/>
    <x v="44"/>
    <n v="33707243479"/>
    <s v="Insumos de pintureria - latex para 3º piso"/>
    <s v="ARS"/>
    <n v="1"/>
    <n v="108264.46"/>
    <n v="22735.536599999999"/>
    <n v="0"/>
    <n v="0"/>
    <n v="0"/>
    <n v="0"/>
    <n v="0"/>
    <n v="0"/>
    <n v="0"/>
    <n v="22735.536599999999"/>
    <n v="130999.99660000001"/>
    <n v="130999.99660000001"/>
    <n v="0"/>
    <x v="1"/>
    <m/>
    <d v="2024-11-15T00:00:00"/>
    <n v="130999.99660000001"/>
    <m/>
    <m/>
    <m/>
    <m/>
    <m/>
    <n v="0"/>
    <m/>
    <m/>
  </r>
  <r>
    <x v="6"/>
    <d v="2024-11-15T00:00:00"/>
    <s v="TICKET"/>
    <s v="C"/>
    <s v="0001"/>
    <s v="00000063"/>
    <x v="107"/>
    <n v="27410953345"/>
    <s v="Servicio Enfermeria Piso P2024-10"/>
    <s v="ARS"/>
    <n v="1"/>
    <n v="45600"/>
    <n v="0"/>
    <n v="0"/>
    <n v="0"/>
    <n v="0"/>
    <n v="0"/>
    <n v="0"/>
    <n v="0"/>
    <n v="0"/>
    <n v="0"/>
    <n v="45600"/>
    <n v="45600"/>
    <n v="0"/>
    <x v="1"/>
    <m/>
    <d v="2024-11-15T00:00:00"/>
    <n v="45600"/>
    <m/>
    <m/>
    <m/>
    <m/>
    <m/>
    <n v="0"/>
    <m/>
    <m/>
  </r>
  <r>
    <x v="6"/>
    <d v="2024-11-15T00:00:00"/>
    <s v="TICKET"/>
    <s v="C"/>
    <s v="0001"/>
    <s v="00000006"/>
    <x v="110"/>
    <n v="27373720904"/>
    <s v="Servicio de instrumentación quirofano P2024-10 (Velazco Melisa)"/>
    <s v="ARS"/>
    <n v="1"/>
    <n v="118000"/>
    <n v="0"/>
    <n v="0"/>
    <n v="0"/>
    <n v="0"/>
    <n v="0"/>
    <n v="0"/>
    <n v="0"/>
    <n v="0"/>
    <n v="0"/>
    <n v="118000"/>
    <n v="118000"/>
    <n v="0"/>
    <x v="1"/>
    <m/>
    <d v="2024-11-15T00:00:00"/>
    <n v="118000"/>
    <m/>
    <m/>
    <m/>
    <m/>
    <m/>
    <n v="0"/>
    <m/>
    <m/>
  </r>
  <r>
    <x v="6"/>
    <d v="2024-11-15T00:00:00"/>
    <s v="FAC"/>
    <s v="C"/>
    <s v="0003"/>
    <s v="00000079"/>
    <x v="102"/>
    <n v="27260306680"/>
    <s v="Honorarios Mucama (Rodriguez Balderrama Claudia) P2024-10"/>
    <s v="ARS"/>
    <n v="1"/>
    <n v="240000"/>
    <n v="0"/>
    <n v="0"/>
    <n v="0"/>
    <n v="0"/>
    <n v="0"/>
    <n v="0"/>
    <n v="0"/>
    <n v="0"/>
    <n v="0"/>
    <n v="240000"/>
    <n v="240000"/>
    <n v="0"/>
    <x v="1"/>
    <m/>
    <d v="2024-11-15T00:00:00"/>
    <n v="240000"/>
    <m/>
    <m/>
    <m/>
    <m/>
    <m/>
    <n v="0"/>
    <m/>
    <m/>
  </r>
  <r>
    <x v="6"/>
    <d v="2024-11-15T00:00:00"/>
    <s v="FAC"/>
    <s v="C"/>
    <s v="0003"/>
    <s v="00000078"/>
    <x v="102"/>
    <n v="27260306680"/>
    <s v="Honorarios Mucama P2024-10"/>
    <s v="ARS"/>
    <n v="1"/>
    <n v="336000"/>
    <n v="0"/>
    <n v="0"/>
    <n v="0"/>
    <n v="0"/>
    <n v="0"/>
    <n v="0"/>
    <n v="0"/>
    <n v="0"/>
    <n v="0"/>
    <n v="336000"/>
    <n v="336000"/>
    <n v="0"/>
    <x v="1"/>
    <m/>
    <d v="2024-11-15T00:00:00"/>
    <n v="336000"/>
    <m/>
    <m/>
    <m/>
    <m/>
    <m/>
    <n v="0"/>
    <m/>
    <m/>
  </r>
  <r>
    <x v="6"/>
    <d v="2024-11-15T00:00:00"/>
    <s v="FAC"/>
    <s v="C"/>
    <s v="0001"/>
    <s v="00000016"/>
    <x v="90"/>
    <n v="27386533550"/>
    <s v="Honorarios de Mucama UTI P2024-10"/>
    <s v="ARS"/>
    <n v="1"/>
    <n v="512000"/>
    <n v="0"/>
    <n v="0"/>
    <n v="0"/>
    <n v="0"/>
    <n v="0"/>
    <n v="0"/>
    <n v="0"/>
    <n v="0"/>
    <n v="0"/>
    <n v="512000"/>
    <n v="512000"/>
    <n v="0"/>
    <x v="1"/>
    <m/>
    <d v="2024-11-15T00:00:00"/>
    <n v="512000"/>
    <m/>
    <m/>
    <m/>
    <m/>
    <m/>
    <n v="0"/>
    <m/>
    <m/>
  </r>
  <r>
    <x v="6"/>
    <d v="2024-11-15T00:00:00"/>
    <s v="FAC"/>
    <s v="C"/>
    <s v="0001"/>
    <s v="00000010"/>
    <x v="97"/>
    <n v="23386529744"/>
    <s v="Honorarios de Mucama UTI P2024-10"/>
    <s v="ARS"/>
    <n v="1"/>
    <n v="512000"/>
    <n v="0"/>
    <n v="0"/>
    <n v="0"/>
    <n v="0"/>
    <n v="0"/>
    <n v="0"/>
    <n v="0"/>
    <n v="0"/>
    <n v="0"/>
    <n v="512000"/>
    <n v="512000"/>
    <n v="0"/>
    <x v="1"/>
    <m/>
    <d v="2024-11-15T00:00:00"/>
    <n v="512000"/>
    <m/>
    <m/>
    <m/>
    <m/>
    <m/>
    <n v="0"/>
    <m/>
    <m/>
  </r>
  <r>
    <x v="6"/>
    <d v="2024-11-15T00:00:00"/>
    <s v="FAC"/>
    <s v="C"/>
    <s v="0001"/>
    <s v="00000058"/>
    <x v="124"/>
    <n v="27422057906"/>
    <s v="Servicio Mucama de quirofano P2024-10"/>
    <s v="ARS"/>
    <n v="1"/>
    <n v="90000"/>
    <n v="0"/>
    <n v="0"/>
    <n v="0"/>
    <n v="0"/>
    <n v="0"/>
    <n v="0"/>
    <n v="0"/>
    <n v="0"/>
    <n v="0"/>
    <n v="90000"/>
    <n v="90000"/>
    <n v="0"/>
    <x v="1"/>
    <m/>
    <d v="2024-11-15T00:00:00"/>
    <n v="90000"/>
    <m/>
    <m/>
    <m/>
    <m/>
    <m/>
    <n v="0"/>
    <m/>
    <m/>
  </r>
  <r>
    <x v="6"/>
    <d v="2024-11-15T00:00:00"/>
    <s v="TICKET"/>
    <s v="C"/>
    <s v="0001"/>
    <s v="00000061"/>
    <x v="107"/>
    <n v="27410953345"/>
    <s v="Servicio Enfermeria Piso P2024-10 (Ivana Gonzales)"/>
    <s v="ARS"/>
    <n v="1"/>
    <n v="86400"/>
    <n v="0"/>
    <n v="0"/>
    <n v="0"/>
    <n v="0"/>
    <m/>
    <n v="0"/>
    <n v="0"/>
    <n v="0"/>
    <n v="0"/>
    <n v="86400"/>
    <n v="86400"/>
    <n v="0"/>
    <x v="1"/>
    <m/>
    <d v="2024-11-19T00:00:00"/>
    <n v="86400"/>
    <m/>
    <m/>
    <m/>
    <m/>
    <m/>
    <n v="0"/>
    <m/>
    <m/>
  </r>
  <r>
    <x v="6"/>
    <d v="2024-11-15T00:00:00"/>
    <s v="TICKET"/>
    <s v="C"/>
    <s v="0001"/>
    <s v="00000062"/>
    <x v="107"/>
    <n v="27410953345"/>
    <s v="Servicio Enfermeria Piso P2024-10 (Ivana Gonzales)"/>
    <s v="ARS"/>
    <n v="1"/>
    <n v="86400"/>
    <n v="0"/>
    <n v="0"/>
    <n v="0"/>
    <n v="0"/>
    <n v="0"/>
    <n v="0"/>
    <n v="0"/>
    <n v="0"/>
    <n v="0"/>
    <n v="86400"/>
    <n v="86400"/>
    <n v="0"/>
    <x v="1"/>
    <m/>
    <d v="2024-11-19T00:00:00"/>
    <n v="86400"/>
    <m/>
    <m/>
    <m/>
    <m/>
    <m/>
    <n v="0"/>
    <m/>
    <m/>
  </r>
  <r>
    <x v="6"/>
    <d v="2024-11-15T00:00:00"/>
    <s v="FAC"/>
    <s v="C"/>
    <s v="0003"/>
    <s v="00000086"/>
    <x v="101"/>
    <n v="27386520599"/>
    <s v="Servicio Enfermeria UTI P2024-10"/>
    <s v="ARS"/>
    <n v="1"/>
    <n v="489600"/>
    <n v="0"/>
    <n v="0"/>
    <n v="0"/>
    <n v="0"/>
    <n v="0"/>
    <n v="0"/>
    <n v="0"/>
    <n v="0"/>
    <n v="0"/>
    <n v="489600"/>
    <n v="489600"/>
    <n v="0"/>
    <x v="1"/>
    <m/>
    <d v="2024-11-19T00:00:00"/>
    <n v="489600"/>
    <m/>
    <m/>
    <m/>
    <m/>
    <m/>
    <n v="0"/>
    <m/>
    <m/>
  </r>
  <r>
    <x v="6"/>
    <d v="2024-11-15T00:00:00"/>
    <s v="FAC"/>
    <s v="C"/>
    <s v="0002"/>
    <s v="00000086"/>
    <x v="100"/>
    <n v="27335929271"/>
    <s v="Servicio Enfermeria UTI P2024-10"/>
    <s v="ARS"/>
    <n v="1"/>
    <n v="475200"/>
    <n v="0"/>
    <n v="0"/>
    <n v="0"/>
    <n v="0"/>
    <n v="0"/>
    <n v="0"/>
    <n v="0"/>
    <n v="0"/>
    <n v="0"/>
    <n v="475200"/>
    <n v="475200"/>
    <n v="0"/>
    <x v="1"/>
    <m/>
    <d v="2024-11-20T00:00:00"/>
    <n v="475200"/>
    <m/>
    <m/>
    <m/>
    <m/>
    <m/>
    <m/>
    <m/>
    <m/>
  </r>
  <r>
    <x v="6"/>
    <d v="2024-11-16T00:00:00"/>
    <s v="FAC"/>
    <s v="A"/>
    <s v="0003"/>
    <s v="00006598"/>
    <x v="22"/>
    <n v="33716385359"/>
    <s v="Insumos de Farmacia"/>
    <s v="ARS"/>
    <n v="1"/>
    <n v="100800"/>
    <n v="21168"/>
    <n v="0"/>
    <n v="0"/>
    <n v="0"/>
    <n v="0"/>
    <n v="0"/>
    <n v="3628.8000000000006"/>
    <n v="0"/>
    <n v="21168"/>
    <n v="125596.8"/>
    <n v="125596.8"/>
    <m/>
    <x v="1"/>
    <m/>
    <d v="2024-12-09T00:00:00"/>
    <m/>
    <m/>
    <m/>
    <m/>
    <m/>
    <m/>
    <m/>
    <m/>
    <s v="CH 9/1 y 9/2"/>
  </r>
  <r>
    <x v="6"/>
    <d v="2024-11-19T00:00:00"/>
    <s v="FAC"/>
    <s v="C"/>
    <s v="0001"/>
    <s v="00000049"/>
    <x v="108"/>
    <n v="27376021829"/>
    <s v="Servicio de instrumentación quirofano P2024-10"/>
    <s v="ARS"/>
    <n v="1"/>
    <n v="335428"/>
    <n v="0"/>
    <n v="0"/>
    <n v="0"/>
    <n v="0"/>
    <n v="0"/>
    <n v="0"/>
    <n v="0"/>
    <n v="0"/>
    <n v="0"/>
    <n v="335428"/>
    <n v="335428"/>
    <n v="0"/>
    <x v="1"/>
    <m/>
    <d v="2024-11-19T00:00:00"/>
    <n v="335428"/>
    <m/>
    <m/>
    <m/>
    <m/>
    <m/>
    <n v="0"/>
    <m/>
    <m/>
  </r>
  <r>
    <x v="6"/>
    <d v="2024-11-19T00:00:00"/>
    <s v="FAC"/>
    <s v="C"/>
    <s v="0003"/>
    <s v="00000005"/>
    <x v="68"/>
    <n v="27414867486"/>
    <s v="Honorarios Medicos UTI P2024-10"/>
    <s v="ARS"/>
    <n v="1"/>
    <n v="864000"/>
    <n v="0"/>
    <n v="0"/>
    <n v="0"/>
    <n v="0"/>
    <n v="0"/>
    <n v="0"/>
    <n v="0"/>
    <n v="0"/>
    <n v="0"/>
    <n v="864000"/>
    <n v="864000"/>
    <n v="0"/>
    <x v="1"/>
    <m/>
    <d v="2024-11-19T00:00:00"/>
    <n v="864000"/>
    <m/>
    <m/>
    <m/>
    <m/>
    <m/>
    <n v="0"/>
    <m/>
    <m/>
  </r>
  <r>
    <x v="6"/>
    <d v="2024-11-19T00:00:00"/>
    <s v="FAC"/>
    <s v="C"/>
    <s v="0002"/>
    <s v="00000087"/>
    <x v="100"/>
    <n v="27335929271"/>
    <s v="Servicio Enfermeria UTI P2024-10 (Cynthia Guzman)"/>
    <s v="ARS"/>
    <n v="1"/>
    <n v="180000"/>
    <n v="0"/>
    <n v="0"/>
    <n v="0"/>
    <n v="0"/>
    <n v="0"/>
    <n v="0"/>
    <n v="0"/>
    <n v="0"/>
    <n v="0"/>
    <n v="180000"/>
    <n v="180000"/>
    <n v="0"/>
    <x v="1"/>
    <m/>
    <d v="2024-11-20T00:00:00"/>
    <n v="180000"/>
    <m/>
    <m/>
    <m/>
    <m/>
    <m/>
    <m/>
    <m/>
    <m/>
  </r>
  <r>
    <x v="6"/>
    <d v="2024-11-19T00:00:00"/>
    <s v="FAC"/>
    <s v="C"/>
    <s v="0002"/>
    <s v="00000125"/>
    <x v="119"/>
    <n v="27432189045"/>
    <s v="Honorarios Profesionales P2024-10 (Lopez Natalia Marcela)"/>
    <s v="ARS"/>
    <n v="1"/>
    <n v="340000"/>
    <n v="0"/>
    <n v="0"/>
    <n v="0"/>
    <n v="0"/>
    <n v="0"/>
    <n v="0"/>
    <n v="0"/>
    <n v="0"/>
    <n v="0"/>
    <n v="340000"/>
    <n v="340000"/>
    <n v="0"/>
    <x v="0"/>
    <m/>
    <m/>
    <m/>
    <m/>
    <m/>
    <m/>
    <m/>
    <m/>
    <m/>
    <m/>
    <m/>
  </r>
  <r>
    <x v="6"/>
    <d v="2024-11-19T00:00:00"/>
    <s v="FAC"/>
    <s v="C"/>
    <s v="0001"/>
    <s v="00000024"/>
    <x v="116"/>
    <n v="23375110199"/>
    <s v="Servicios Radiología P2024-10"/>
    <s v="ARS"/>
    <n v="1"/>
    <n v="260000"/>
    <n v="0"/>
    <n v="0"/>
    <n v="0"/>
    <n v="0"/>
    <n v="0"/>
    <n v="0"/>
    <n v="0"/>
    <n v="0"/>
    <n v="0"/>
    <n v="260000"/>
    <n v="260000"/>
    <n v="0"/>
    <x v="0"/>
    <m/>
    <m/>
    <m/>
    <m/>
    <m/>
    <m/>
    <m/>
    <m/>
    <m/>
    <m/>
    <m/>
  </r>
  <r>
    <x v="6"/>
    <d v="2024-11-13T00:00:00"/>
    <s v="FAC"/>
    <s v="A"/>
    <s v="0004"/>
    <s v="00000445"/>
    <x v="163"/>
    <n v="33714950709"/>
    <s v="Insumos de farmacia"/>
    <s v="ARS"/>
    <n v="1"/>
    <n v="148000"/>
    <n v="31080"/>
    <n v="0"/>
    <n v="0"/>
    <n v="0"/>
    <n v="0"/>
    <n v="0"/>
    <n v="0"/>
    <n v="0"/>
    <n v="31080"/>
    <n v="179080"/>
    <n v="179080"/>
    <n v="0"/>
    <x v="0"/>
    <m/>
    <m/>
    <m/>
    <m/>
    <m/>
    <m/>
    <m/>
    <m/>
    <m/>
    <m/>
    <m/>
  </r>
  <r>
    <x v="6"/>
    <d v="2024-11-19T00:00:00"/>
    <s v="FAC"/>
    <s v="A"/>
    <s v="0004"/>
    <s v="00000477"/>
    <x v="163"/>
    <n v="33714950709"/>
    <s v="Insumos de farmacia"/>
    <s v="ARS"/>
    <n v="1"/>
    <n v="81600"/>
    <n v="17136"/>
    <n v="0"/>
    <n v="0"/>
    <n v="0"/>
    <n v="0"/>
    <n v="0"/>
    <n v="0"/>
    <n v="0"/>
    <n v="17136"/>
    <n v="98736"/>
    <n v="98736"/>
    <n v="0"/>
    <x v="0"/>
    <m/>
    <m/>
    <m/>
    <m/>
    <m/>
    <m/>
    <m/>
    <m/>
    <m/>
    <m/>
    <m/>
  </r>
  <r>
    <x v="6"/>
    <d v="2024-11-04T00:00:00"/>
    <s v="FAC"/>
    <s v="A"/>
    <s v="0004"/>
    <s v="00000392"/>
    <x v="163"/>
    <n v="33714950709"/>
    <s v="Insumos de farmacia"/>
    <s v="ARS"/>
    <n v="1"/>
    <n v="37190.25"/>
    <n v="7809.95"/>
    <n v="0"/>
    <n v="0"/>
    <n v="0"/>
    <n v="0"/>
    <n v="0"/>
    <n v="0"/>
    <n v="0"/>
    <n v="7809.95"/>
    <n v="45000.2"/>
    <n v="45000.2"/>
    <n v="0"/>
    <x v="0"/>
    <m/>
    <m/>
    <m/>
    <m/>
    <m/>
    <m/>
    <m/>
    <m/>
    <m/>
    <m/>
    <m/>
  </r>
  <r>
    <x v="6"/>
    <d v="2024-11-13T00:00:00"/>
    <s v="FAC"/>
    <s v="A"/>
    <s v="0004"/>
    <s v="00000446"/>
    <x v="163"/>
    <n v="33714950709"/>
    <s v="Insumos de farmacia"/>
    <s v="ARS"/>
    <n v="1"/>
    <n v="292137.09999999998"/>
    <n v="61348.79"/>
    <n v="0"/>
    <n v="0"/>
    <n v="0"/>
    <n v="974706.64"/>
    <n v="0"/>
    <n v="0"/>
    <n v="0"/>
    <n v="61348.79"/>
    <n v="1328192.53"/>
    <n v="1328192.53"/>
    <n v="0"/>
    <x v="0"/>
    <m/>
    <m/>
    <m/>
    <m/>
    <m/>
    <m/>
    <m/>
    <m/>
    <m/>
    <m/>
    <m/>
  </r>
  <r>
    <x v="6"/>
    <d v="2024-11-13T00:00:00"/>
    <s v="FAC"/>
    <s v="A"/>
    <s v="0004"/>
    <s v="00000443"/>
    <x v="163"/>
    <n v="33714950709"/>
    <s v="Insumos de farmacia"/>
    <s v="ARS"/>
    <n v="1"/>
    <n v="0"/>
    <n v="0"/>
    <n v="0"/>
    <n v="0"/>
    <n v="0"/>
    <n v="90500"/>
    <n v="0"/>
    <n v="0"/>
    <n v="0"/>
    <n v="0"/>
    <n v="90500"/>
    <n v="90500"/>
    <n v="0"/>
    <x v="0"/>
    <m/>
    <m/>
    <m/>
    <m/>
    <m/>
    <m/>
    <m/>
    <m/>
    <m/>
    <m/>
    <m/>
  </r>
  <r>
    <x v="6"/>
    <d v="2024-11-13T00:00:00"/>
    <s v="FAC"/>
    <s v="A"/>
    <s v="0004"/>
    <s v="00000445"/>
    <x v="163"/>
    <n v="33714950709"/>
    <s v="Insumos de farmacia"/>
    <s v="ARS"/>
    <n v="1"/>
    <n v="148000"/>
    <n v="31080"/>
    <n v="0"/>
    <n v="0"/>
    <n v="0"/>
    <n v="0"/>
    <n v="0"/>
    <n v="0"/>
    <n v="0"/>
    <n v="31080"/>
    <n v="179080"/>
    <n v="179080"/>
    <n v="0"/>
    <x v="0"/>
    <m/>
    <m/>
    <m/>
    <m/>
    <m/>
    <m/>
    <m/>
    <m/>
    <m/>
    <m/>
    <m/>
  </r>
  <r>
    <x v="6"/>
    <d v="2024-11-13T00:00:00"/>
    <s v="FAC"/>
    <s v="A"/>
    <s v="0004"/>
    <s v="00000444"/>
    <x v="163"/>
    <n v="33714950709"/>
    <s v="Insumos de farmacia"/>
    <s v="ARS"/>
    <n v="1"/>
    <n v="207435.2"/>
    <n v="43561.39"/>
    <n v="0"/>
    <n v="0"/>
    <n v="0"/>
    <n v="286000"/>
    <n v="0"/>
    <n v="0"/>
    <n v="0"/>
    <n v="43561.39"/>
    <n v="536996.59000000008"/>
    <n v="536996.59000000008"/>
    <n v="0"/>
    <x v="0"/>
    <m/>
    <m/>
    <m/>
    <m/>
    <m/>
    <m/>
    <m/>
    <m/>
    <m/>
    <m/>
    <m/>
  </r>
  <r>
    <x v="6"/>
    <d v="2024-11-25T00:00:00"/>
    <s v="FAC"/>
    <s v="A"/>
    <s v="0004"/>
    <s v="00004332"/>
    <x v="168"/>
    <n v="20134144131"/>
    <s v="Gastos varios de farmacia"/>
    <s v="ARS"/>
    <n v="1"/>
    <n v="11768.6"/>
    <n v="2471.41"/>
    <n v="0"/>
    <n v="0"/>
    <n v="0"/>
    <n v="0"/>
    <n v="0"/>
    <n v="0"/>
    <n v="0"/>
    <n v="2471.41"/>
    <n v="14240.01"/>
    <n v="14240.01"/>
    <n v="0"/>
    <x v="1"/>
    <m/>
    <d v="2024-11-25T00:00:00"/>
    <m/>
    <m/>
    <m/>
    <m/>
    <m/>
    <m/>
    <n v="14240"/>
    <m/>
    <m/>
  </r>
  <r>
    <x v="6"/>
    <d v="2024-11-05T00:00:00"/>
    <s v="FAC"/>
    <s v="A"/>
    <s v="0017"/>
    <s v="00000034"/>
    <x v="22"/>
    <n v="33716385359"/>
    <s v="Insumos de Farmacia"/>
    <s v="ARS"/>
    <n v="1"/>
    <n v="0"/>
    <n v="0"/>
    <n v="0"/>
    <n v="0"/>
    <n v="0"/>
    <n v="2514000"/>
    <n v="0"/>
    <n v="0"/>
    <n v="0"/>
    <n v="0"/>
    <n v="2514000"/>
    <n v="2514000"/>
    <m/>
    <x v="1"/>
    <m/>
    <d v="2024-12-09T00:00:00"/>
    <m/>
    <m/>
    <m/>
    <m/>
    <m/>
    <m/>
    <m/>
    <m/>
    <s v="CH 9/1 y 9/2"/>
  </r>
  <r>
    <x v="6"/>
    <d v="2024-11-20T00:00:00"/>
    <s v="FAC"/>
    <s v="A"/>
    <s v="0017"/>
    <s v="00000042"/>
    <x v="22"/>
    <n v="33716385359"/>
    <s v="Insumos de Farmacia"/>
    <s v="ARS"/>
    <n v="1"/>
    <n v="0"/>
    <n v="0"/>
    <n v="0"/>
    <n v="0"/>
    <n v="0"/>
    <n v="262500"/>
    <n v="0"/>
    <n v="0"/>
    <n v="0"/>
    <n v="0"/>
    <n v="262500"/>
    <n v="262500"/>
    <n v="105654.78"/>
    <x v="1"/>
    <m/>
    <d v="2024-12-09T00:00:00"/>
    <n v="5728749.3139999993"/>
    <m/>
    <m/>
    <m/>
    <m/>
    <m/>
    <m/>
    <m/>
    <s v="CH 9/1 y 9/2"/>
  </r>
  <r>
    <x v="6"/>
    <d v="2024-11-22T00:00:00"/>
    <s v="FAC"/>
    <s v="A"/>
    <s v="0006"/>
    <s v="00000854"/>
    <x v="9"/>
    <n v="20233929035"/>
    <s v="Insumos de Lavandería y Limpieza"/>
    <s v="ARS"/>
    <n v="1"/>
    <n v="477568.47"/>
    <n v="100289.37869999999"/>
    <n v="0"/>
    <n v="0"/>
    <n v="0"/>
    <n v="0"/>
    <n v="0"/>
    <n v="0"/>
    <n v="0"/>
    <n v="100289.37869999999"/>
    <n v="577857.84869999997"/>
    <n v="577857.84869999997"/>
    <n v="5071.3693999999996"/>
    <x v="0"/>
    <m/>
    <m/>
    <m/>
    <m/>
    <m/>
    <m/>
    <m/>
    <m/>
    <m/>
    <m/>
    <m/>
  </r>
  <r>
    <x v="6"/>
    <d v="2024-11-20T00:00:00"/>
    <s v="FAC"/>
    <s v="A"/>
    <s v="0004"/>
    <s v="00006386"/>
    <x v="15"/>
    <n v="30716688735"/>
    <s v="Insumos de Farmacia"/>
    <s v="ARS"/>
    <n v="1"/>
    <n v="0"/>
    <n v="0"/>
    <n v="0"/>
    <n v="0"/>
    <n v="0"/>
    <n v="48720"/>
    <n v="0"/>
    <n v="0"/>
    <m/>
    <n v="0"/>
    <n v="48720"/>
    <n v="48720"/>
    <m/>
    <x v="1"/>
    <d v="2024-12-20T00:00:00"/>
    <d v="2024-12-06T00:00:00"/>
    <m/>
    <m/>
    <m/>
    <m/>
    <m/>
    <m/>
    <m/>
    <m/>
    <s v="cta cte"/>
  </r>
  <r>
    <x v="6"/>
    <d v="2024-11-06T00:00:00"/>
    <s v="FAC"/>
    <s v="A"/>
    <s v="0004"/>
    <s v="00006242"/>
    <x v="15"/>
    <n v="30716688735"/>
    <s v="Insumos de Farmacia"/>
    <s v="ARS"/>
    <n v="1"/>
    <n v="137644.63"/>
    <n v="28905.372299999999"/>
    <n v="0"/>
    <n v="0"/>
    <n v="0"/>
    <n v="0"/>
    <n v="0"/>
    <n v="0"/>
    <n v="0"/>
    <n v="28905.372299999999"/>
    <n v="166550.00229999999"/>
    <n v="166550.00229999999"/>
    <m/>
    <x v="1"/>
    <d v="2024-12-06T00:00:00"/>
    <d v="2024-12-06T00:00:00"/>
    <n v="215270"/>
    <m/>
    <m/>
    <m/>
    <m/>
    <m/>
    <n v="0"/>
    <m/>
    <s v="cta cte"/>
  </r>
  <r>
    <x v="6"/>
    <d v="2024-11-20T00:00:00"/>
    <s v="FAC"/>
    <s v="A"/>
    <s v="0002"/>
    <s v="00008072"/>
    <x v="169"/>
    <n v="27339703030"/>
    <s v="OXIGENO"/>
    <s v="ARS"/>
    <n v="1"/>
    <n v="3719.01"/>
    <n v="780.99210000000005"/>
    <n v="0"/>
    <n v="0"/>
    <n v="0"/>
    <n v="0"/>
    <n v="0"/>
    <n v="0"/>
    <m/>
    <n v="780.99210000000005"/>
    <n v="4500.0021000000006"/>
    <n v="4500.0021000000006"/>
    <m/>
    <x v="1"/>
    <m/>
    <d v="2024-11-20T00:00:00"/>
    <n v="0"/>
    <m/>
    <m/>
    <m/>
    <m/>
    <m/>
    <n v="4500"/>
    <m/>
    <m/>
  </r>
  <r>
    <x v="6"/>
    <d v="2024-11-11T00:00:00"/>
    <s v="FAC"/>
    <s v="A"/>
    <s v="0006"/>
    <s v="00116299"/>
    <x v="170"/>
    <n v="33698843719"/>
    <s v="Insumos de Farmacia"/>
    <s v="ARS"/>
    <n v="1"/>
    <n v="0"/>
    <n v="0"/>
    <n v="0"/>
    <n v="0"/>
    <n v="0"/>
    <n v="74704.81"/>
    <n v="0"/>
    <n v="0"/>
    <n v="0"/>
    <n v="0"/>
    <n v="74704.81"/>
    <n v="74704.81"/>
    <m/>
    <x v="0"/>
    <m/>
    <m/>
    <m/>
    <m/>
    <m/>
    <m/>
    <m/>
    <m/>
    <m/>
    <m/>
    <m/>
  </r>
  <r>
    <x v="6"/>
    <d v="2024-11-21T00:00:00"/>
    <s v="FAC"/>
    <s v="A"/>
    <s v="0003"/>
    <s v="00005485"/>
    <x v="171"/>
    <n v="30714513504"/>
    <s v="Insumos de Farmacia"/>
    <s v="ARS"/>
    <n v="1"/>
    <n v="48595.040000000001"/>
    <n v="10204.9584"/>
    <n v="0"/>
    <n v="0"/>
    <n v="0"/>
    <n v="0"/>
    <n v="0"/>
    <n v="0"/>
    <m/>
    <n v="10204.9584"/>
    <n v="58799.998399999997"/>
    <n v="58799.998399999997"/>
    <m/>
    <x v="1"/>
    <m/>
    <d v="2024-11-22T00:00:00"/>
    <n v="58800"/>
    <m/>
    <m/>
    <m/>
    <m/>
    <m/>
    <n v="0"/>
    <m/>
    <m/>
  </r>
  <r>
    <x v="6"/>
    <d v="2024-11-19T00:00:00"/>
    <s v="TICKET"/>
    <s v="A"/>
    <s v="0009"/>
    <s v="00003227"/>
    <x v="152"/>
    <n v="20311306309"/>
    <s v="Insumos de electricidad"/>
    <s v="ARS"/>
    <n v="1"/>
    <n v="7107.44"/>
    <n v="1492.56"/>
    <n v="0"/>
    <n v="0"/>
    <n v="0"/>
    <n v="0"/>
    <n v="0"/>
    <n v="0"/>
    <n v="0"/>
    <n v="1492.56"/>
    <n v="8600"/>
    <n v="8600"/>
    <n v="0"/>
    <x v="1"/>
    <m/>
    <d v="2024-11-19T00:00:00"/>
    <m/>
    <m/>
    <m/>
    <m/>
    <m/>
    <m/>
    <n v="8600"/>
    <m/>
    <m/>
  </r>
  <r>
    <x v="6"/>
    <d v="2024-11-09T00:00:00"/>
    <s v="TICKET"/>
    <s v="A"/>
    <s v="0021"/>
    <n v="485"/>
    <x v="18"/>
    <n v="30716375184"/>
    <s v="Mercadería para oficina"/>
    <s v="ARS"/>
    <n v="1"/>
    <n v="33032.54"/>
    <n v="6936.8333999999995"/>
    <n v="0"/>
    <n v="0"/>
    <n v="0"/>
    <n v="0"/>
    <n v="0"/>
    <n v="0"/>
    <n v="0"/>
    <n v="6936.8333999999995"/>
    <n v="39969.373399999997"/>
    <n v="39969.373399999997"/>
    <n v="0"/>
    <x v="1"/>
    <m/>
    <d v="2024-11-09T00:00:00"/>
    <n v="0"/>
    <m/>
    <m/>
    <m/>
    <m/>
    <m/>
    <n v="39969.373399999997"/>
    <m/>
    <m/>
  </r>
  <r>
    <x v="6"/>
    <d v="2024-11-15T00:00:00"/>
    <s v="FAC"/>
    <s v="A"/>
    <s v="0004"/>
    <s v="00000270"/>
    <x v="26"/>
    <n v="30717926966"/>
    <s v="Descartables - toallas"/>
    <s v="ARS"/>
    <n v="1"/>
    <n v="185950.35"/>
    <n v="39049.57"/>
    <n v="0"/>
    <n v="0"/>
    <n v="0"/>
    <n v="0"/>
    <n v="0"/>
    <n v="0"/>
    <n v="0"/>
    <n v="39049.57"/>
    <n v="224999.92"/>
    <n v="224999.92"/>
    <n v="0"/>
    <x v="1"/>
    <m/>
    <d v="2024-10-03T00:00:00"/>
    <n v="224999.92"/>
    <m/>
    <m/>
    <m/>
    <m/>
    <m/>
    <m/>
    <m/>
    <m/>
  </r>
  <r>
    <x v="6"/>
    <d v="2024-11-21T00:00:00"/>
    <s v="FAC"/>
    <s v="A"/>
    <s v="5003"/>
    <s v="02691671"/>
    <x v="98"/>
    <n v="30518408689"/>
    <s v="Comida para el BAR"/>
    <s v="ARS"/>
    <n v="1"/>
    <n v="18504.810000000001"/>
    <n v="3886.0101"/>
    <n v="0"/>
    <n v="0"/>
    <n v="79.569999999999993"/>
    <n v="0"/>
    <n v="555.14430000000004"/>
    <n v="724.09"/>
    <n v="1609.18"/>
    <n v="3886.0101"/>
    <n v="25358.804400000001"/>
    <n v="25358.804400000001"/>
    <n v="0"/>
    <x v="1"/>
    <m/>
    <d v="2024-11-21T00:00:00"/>
    <m/>
    <m/>
    <m/>
    <m/>
    <m/>
    <m/>
    <m/>
    <m/>
    <m/>
  </r>
  <r>
    <x v="5"/>
    <d v="2024-10-23T00:00:00"/>
    <s v="FAC"/>
    <s v="A"/>
    <s v="0001"/>
    <s v="00000196"/>
    <x v="172"/>
    <n v="30716877384"/>
    <s v="Traslados en ambulancia"/>
    <s v="ARS"/>
    <n v="1"/>
    <n v="1299000"/>
    <n v="272790"/>
    <n v="0"/>
    <n v="0"/>
    <n v="0"/>
    <n v="0"/>
    <n v="0"/>
    <n v="0"/>
    <n v="0"/>
    <n v="272790"/>
    <n v="1571790"/>
    <n v="1571790"/>
    <n v="0"/>
    <x v="1"/>
    <m/>
    <d v="2024-10-23T00:00:00"/>
    <n v="1571790"/>
    <m/>
    <m/>
    <m/>
    <m/>
    <m/>
    <n v="0"/>
    <m/>
    <m/>
  </r>
  <r>
    <x v="6"/>
    <d v="2024-11-27T00:00:00"/>
    <s v="FAC"/>
    <s v="A"/>
    <s v="0001"/>
    <s v="00000199"/>
    <x v="172"/>
    <n v="30716877384"/>
    <s v="Traslados en ambulancia"/>
    <s v="ARS"/>
    <n v="1"/>
    <n v="607900"/>
    <n v="127659"/>
    <n v="0"/>
    <n v="0"/>
    <n v="0"/>
    <n v="0"/>
    <n v="0"/>
    <n v="0"/>
    <n v="0"/>
    <n v="127659"/>
    <n v="735559"/>
    <n v="735559"/>
    <n v="7678"/>
    <x v="1"/>
    <m/>
    <d v="2024-11-27T00:00:00"/>
    <n v="727881"/>
    <m/>
    <m/>
    <m/>
    <m/>
    <m/>
    <n v="0"/>
    <m/>
    <m/>
  </r>
  <r>
    <x v="6"/>
    <d v="2024-11-26T00:00:00"/>
    <s v="FAC"/>
    <s v="C"/>
    <s v="0001"/>
    <s v="00000012"/>
    <x v="125"/>
    <n v="20406602681"/>
    <s v="Honorarios Profesionales - Derivaciones Pacientes Samec"/>
    <s v="ARS"/>
    <n v="1"/>
    <n v="700000"/>
    <n v="0"/>
    <n v="0"/>
    <n v="0"/>
    <n v="0"/>
    <n v="0"/>
    <n v="0"/>
    <n v="0"/>
    <n v="0"/>
    <n v="0"/>
    <n v="700000"/>
    <n v="700000"/>
    <n v="0"/>
    <x v="1"/>
    <m/>
    <d v="2024-10-26T00:00:00"/>
    <n v="700000"/>
    <m/>
    <m/>
    <m/>
    <m/>
    <m/>
    <n v="0"/>
    <m/>
    <m/>
  </r>
  <r>
    <x v="6"/>
    <d v="2024-11-25T00:00:00"/>
    <s v="FAC"/>
    <s v="A"/>
    <s v="0001"/>
    <s v="00000199"/>
    <x v="173"/>
    <n v="30715834746"/>
    <s v="Traslados en ambulancia"/>
    <s v="ARS"/>
    <n v="1"/>
    <n v="607900"/>
    <n v="127659"/>
    <m/>
    <m/>
    <m/>
    <m/>
    <m/>
    <m/>
    <m/>
    <n v="127659"/>
    <n v="735559"/>
    <n v="735559"/>
    <m/>
    <x v="2"/>
    <m/>
    <s v="ANULADA - HACER NC (REFACTURADA CON SALUTEM FC 199)"/>
    <m/>
    <m/>
    <m/>
    <m/>
    <m/>
    <m/>
    <m/>
    <m/>
    <m/>
  </r>
  <r>
    <x v="6"/>
    <d v="2024-11-26T00:00:00"/>
    <s v="FAC"/>
    <s v="A"/>
    <s v="0006"/>
    <s v="00003314"/>
    <x v="8"/>
    <n v="30716939762"/>
    <s v="Mercadería para oficina"/>
    <s v="ARS"/>
    <n v="1"/>
    <n v="90072"/>
    <n v="18915.12"/>
    <n v="0"/>
    <n v="0"/>
    <n v="0"/>
    <n v="0"/>
    <n v="0"/>
    <n v="0"/>
    <n v="0"/>
    <n v="18915.12"/>
    <n v="108987.12"/>
    <n v="108987.12"/>
    <n v="0"/>
    <x v="1"/>
    <m/>
    <d v="2024-11-28T00:00:00"/>
    <n v="108987.12"/>
    <m/>
    <m/>
    <m/>
    <m/>
    <m/>
    <n v="0"/>
    <m/>
    <m/>
  </r>
  <r>
    <x v="6"/>
    <d v="2024-11-25T00:00:00"/>
    <s v="FAC"/>
    <s v="A"/>
    <s v="0052"/>
    <s v="00162160"/>
    <x v="36"/>
    <n v="30716596881"/>
    <s v="Comida para el BAR"/>
    <s v="ARS"/>
    <n v="1"/>
    <n v="27438.02"/>
    <n v="5761.9841999999999"/>
    <n v="0"/>
    <n v="0"/>
    <n v="0"/>
    <n v="0"/>
    <n v="0"/>
    <n v="0"/>
    <m/>
    <n v="5761.9841999999999"/>
    <n v="33200.004200000003"/>
    <n v="33200.004200000003"/>
    <n v="0"/>
    <x v="0"/>
    <m/>
    <m/>
    <m/>
    <m/>
    <m/>
    <m/>
    <m/>
    <m/>
    <m/>
    <m/>
    <m/>
  </r>
  <r>
    <x v="7"/>
    <d v="2024-12-01T00:00:00"/>
    <s v="A cuenta"/>
    <m/>
    <m/>
    <m/>
    <x v="4"/>
    <m/>
    <s v="Honorarios Estudio Contable Noviembre 2024"/>
    <s v="ARS"/>
    <n v="1"/>
    <n v="800000"/>
    <n v="0"/>
    <n v="0"/>
    <n v="0"/>
    <n v="0"/>
    <n v="0"/>
    <n v="0"/>
    <n v="0"/>
    <n v="0"/>
    <n v="0"/>
    <n v="800000"/>
    <n v="800000"/>
    <n v="0"/>
    <x v="1"/>
    <m/>
    <m/>
    <m/>
    <m/>
    <m/>
    <m/>
    <m/>
    <m/>
    <m/>
    <m/>
    <m/>
  </r>
  <r>
    <x v="7"/>
    <d v="2024-12-02T00:00:00"/>
    <s v="FAC"/>
    <s v="C"/>
    <s v="0002"/>
    <s v="00000858"/>
    <x v="10"/>
    <n v="20222549788"/>
    <s v="Soporte Sistema Informatico P2024-11"/>
    <s v="ARS"/>
    <n v="1"/>
    <n v="273032"/>
    <n v="0"/>
    <n v="0"/>
    <n v="0"/>
    <n v="0"/>
    <n v="0"/>
    <n v="0"/>
    <n v="0"/>
    <n v="0"/>
    <n v="0"/>
    <n v="273032"/>
    <n v="273032"/>
    <n v="0"/>
    <x v="1"/>
    <m/>
    <d v="2024-12-02T00:00:00"/>
    <n v="273032"/>
    <m/>
    <m/>
    <m/>
    <m/>
    <m/>
    <m/>
    <m/>
    <m/>
  </r>
  <r>
    <x v="7"/>
    <d v="2024-12-02T00:00:00"/>
    <s v="FAC"/>
    <s v="C"/>
    <s v="0002"/>
    <s v="00000555"/>
    <x v="174"/>
    <n v="30999263158"/>
    <s v="Habilitacion Tomografo"/>
    <s v="ARS"/>
    <n v="1"/>
    <n v="0"/>
    <n v="0"/>
    <n v="0"/>
    <n v="0"/>
    <n v="0"/>
    <n v="920000"/>
    <n v="0"/>
    <n v="0"/>
    <n v="0"/>
    <n v="0"/>
    <n v="920000"/>
    <n v="920000"/>
    <n v="0"/>
    <x v="1"/>
    <m/>
    <d v="2024-12-02T00:00:00"/>
    <n v="920000"/>
    <m/>
    <m/>
    <m/>
    <m/>
    <m/>
    <n v="0"/>
    <m/>
    <m/>
  </r>
  <r>
    <x v="7"/>
    <d v="2024-12-02T00:00:00"/>
    <s v="N/D"/>
    <s v="A"/>
    <s v="0004"/>
    <s v="00000762"/>
    <x v="37"/>
    <n v="30580639034"/>
    <s v="Diferencia de cambio"/>
    <s v="ARS"/>
    <n v="1"/>
    <n v="132394.03"/>
    <n v="27802.746299999999"/>
    <n v="0"/>
    <n v="0"/>
    <n v="0"/>
    <n v="0"/>
    <n v="0"/>
    <n v="0"/>
    <n v="0"/>
    <n v="27802.746299999999"/>
    <n v="160196.7763"/>
    <n v="160196.7763"/>
    <n v="0"/>
    <x v="0"/>
    <d v="2025-01-02T00:00:00"/>
    <m/>
    <m/>
    <m/>
    <m/>
    <m/>
    <m/>
    <m/>
    <m/>
    <m/>
    <m/>
  </r>
  <r>
    <x v="7"/>
    <d v="2024-12-02T00:00:00"/>
    <s v="FAC"/>
    <s v="A"/>
    <s v="0003"/>
    <s v="00044585"/>
    <x v="175"/>
    <n v="30711867240"/>
    <s v="dosimetros"/>
    <s v="ARS"/>
    <n v="1"/>
    <n v="74930"/>
    <n v="15735.3"/>
    <n v="0"/>
    <n v="0"/>
    <n v="0"/>
    <n v="0"/>
    <n v="0"/>
    <n v="0"/>
    <n v="0"/>
    <n v="15735.3"/>
    <n v="90665.3"/>
    <n v="90665.3"/>
    <n v="0"/>
    <x v="1"/>
    <d v="2024-12-11T00:00:00"/>
    <d v="2024-12-10T00:00:00"/>
    <n v="90665.3"/>
    <m/>
    <m/>
    <m/>
    <m/>
    <m/>
    <n v="0"/>
    <m/>
    <m/>
  </r>
  <r>
    <x v="7"/>
    <d v="2024-10-01T00:00:00"/>
    <s v="FAC"/>
    <s v="A"/>
    <s v="0002"/>
    <s v="00023589"/>
    <x v="3"/>
    <n v="30715721461"/>
    <s v="Suministro de agua P2024-12"/>
    <s v="ARS"/>
    <n v="1"/>
    <n v="57000"/>
    <n v="11970"/>
    <n v="0"/>
    <n v="0"/>
    <n v="0"/>
    <n v="0"/>
    <n v="0"/>
    <n v="0"/>
    <n v="0"/>
    <n v="11970"/>
    <n v="68970"/>
    <n v="68970"/>
    <m/>
    <x v="0"/>
    <d v="2024-12-20T00:00:00"/>
    <m/>
    <m/>
    <m/>
    <m/>
    <m/>
    <m/>
    <m/>
    <m/>
    <m/>
    <m/>
  </r>
  <r>
    <x v="7"/>
    <d v="2024-12-04T00:00:00"/>
    <s v="FAC"/>
    <s v="A"/>
    <s v="0003"/>
    <s v="00006672"/>
    <x v="22"/>
    <n v="33716385359"/>
    <s v="Insumos de Farmacia"/>
    <s v="ARS"/>
    <n v="1"/>
    <n v="1269194"/>
    <n v="266530.74"/>
    <n v="0"/>
    <n v="0"/>
    <n v="0"/>
    <n v="3730133"/>
    <n v="179975.77"/>
    <n v="0"/>
    <n v="0"/>
    <n v="266530.74"/>
    <n v="5445833.5099999998"/>
    <n v="5445833.5099999998"/>
    <m/>
    <x v="0"/>
    <d v="2024-12-20T00:00:00"/>
    <m/>
    <m/>
    <m/>
    <m/>
    <m/>
    <m/>
    <m/>
    <m/>
    <m/>
    <m/>
  </r>
  <r>
    <x v="7"/>
    <d v="2024-11-05T00:00:00"/>
    <s v="FAC"/>
    <s v="A"/>
    <s v="0003"/>
    <s v="00002443"/>
    <x v="5"/>
    <n v="30714721301"/>
    <s v="Suministro mensual oxigeno P2024-11"/>
    <s v="ARS"/>
    <n v="1"/>
    <n v="1069950.78"/>
    <n v="224689.66380000001"/>
    <n v="0"/>
    <n v="0"/>
    <n v="0"/>
    <n v="0"/>
    <n v="0"/>
    <n v="38518.228080000008"/>
    <n v="0"/>
    <n v="224689.66380000001"/>
    <n v="1333158.67188"/>
    <n v="1333158.67188"/>
    <m/>
    <x v="0"/>
    <d v="2024-12-04T00:00:00"/>
    <m/>
    <m/>
    <m/>
    <m/>
    <m/>
    <m/>
    <m/>
    <m/>
    <m/>
    <m/>
  </r>
  <r>
    <x v="7"/>
    <d v="2024-12-09T00:00:00"/>
    <s v="FAC"/>
    <s v="A"/>
    <s v="0002"/>
    <s v="00000533"/>
    <x v="176"/>
    <n v="23225539049"/>
    <s v="HONORARIOS MEDICOS EN IMÁGENES"/>
    <s v="ARS"/>
    <n v="1"/>
    <n v="532904.22"/>
    <n v="0"/>
    <n v="0"/>
    <n v="0"/>
    <n v="0"/>
    <n v="0"/>
    <n v="0"/>
    <n v="0"/>
    <n v="0"/>
    <n v="0"/>
    <n v="532904.22"/>
    <n v="526726.13559999992"/>
    <n v="6178.0843999999997"/>
    <x v="1"/>
    <d v="2024-12-09T00:00:00"/>
    <d v="2024-12-10T00:00:00"/>
    <n v="526726.13559999992"/>
    <m/>
    <m/>
    <m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J36" firstHeaderRow="1" firstDataRow="3" firstDataCol="1"/>
  <pivotFields count="36">
    <pivotField axis="axisCol" showAll="0">
      <items count="11">
        <item x="2"/>
        <item x="3"/>
        <item x="4"/>
        <item x="5"/>
        <item m="1" x="9"/>
        <item x="6"/>
        <item x="1"/>
        <item x="0"/>
        <item m="1" x="8"/>
        <item x="7"/>
        <item t="default"/>
      </items>
    </pivotField>
    <pivotField numFmtId="14" showAll="0"/>
    <pivotField showAll="0"/>
    <pivotField showAll="0"/>
    <pivotField showAll="0"/>
    <pivotField showAll="0" defaultSubtotal="0"/>
    <pivotField axis="axisRow" showAll="0" defaultSubtotal="0">
      <items count="184">
        <item x="120"/>
        <item x="160"/>
        <item x="82"/>
        <item x="18"/>
        <item x="52"/>
        <item x="88"/>
        <item x="164"/>
        <item x="73"/>
        <item x="41"/>
        <item x="165"/>
        <item x="85"/>
        <item x="111"/>
        <item x="10"/>
        <item x="104"/>
        <item x="14"/>
        <item x="156"/>
        <item x="12"/>
        <item x="161"/>
        <item x="48"/>
        <item x="147"/>
        <item x="126"/>
        <item x="19"/>
        <item x="153"/>
        <item x="32"/>
        <item x="130"/>
        <item x="25"/>
        <item x="83"/>
        <item x="89"/>
        <item x="151"/>
        <item x="51"/>
        <item x="103"/>
        <item x="49"/>
        <item x="134"/>
        <item x="45"/>
        <item x="158"/>
        <item x="0"/>
        <item x="105"/>
        <item x="114"/>
        <item x="53"/>
        <item m="1" x="183"/>
        <item x="136"/>
        <item x="145"/>
        <item x="46"/>
        <item x="154"/>
        <item x="112"/>
        <item x="54"/>
        <item x="26"/>
        <item x="20"/>
        <item x="65"/>
        <item x="72"/>
        <item x="21"/>
        <item x="74"/>
        <item x="162"/>
        <item x="113"/>
        <item x="11"/>
        <item x="6"/>
        <item x="28"/>
        <item x="33"/>
        <item x="29"/>
        <item x="129"/>
        <item x="39"/>
        <item x="131"/>
        <item x="115"/>
        <item x="22"/>
        <item x="23"/>
        <item x="47"/>
        <item x="55"/>
        <item x="144"/>
        <item x="90"/>
        <item x="149"/>
        <item x="116"/>
        <item x="69"/>
        <item x="122"/>
        <item x="125"/>
        <item x="81"/>
        <item x="135"/>
        <item x="64"/>
        <item x="66"/>
        <item x="133"/>
        <item x="56"/>
        <item x="152"/>
        <item x="143"/>
        <item x="57"/>
        <item x="75"/>
        <item m="1" x="179"/>
        <item x="58"/>
        <item x="27"/>
        <item x="36"/>
        <item x="106"/>
        <item x="17"/>
        <item x="140"/>
        <item x="59"/>
        <item x="128"/>
        <item x="76"/>
        <item x="13"/>
        <item x="123"/>
        <item x="37"/>
        <item x="117"/>
        <item x="92"/>
        <item x="2"/>
        <item x="38"/>
        <item x="118"/>
        <item x="146"/>
        <item x="42"/>
        <item x="93"/>
        <item x="94"/>
        <item x="8"/>
        <item x="141"/>
        <item x="60"/>
        <item x="34"/>
        <item x="4"/>
        <item x="127"/>
        <item x="15"/>
        <item x="107"/>
        <item x="3"/>
        <item x="148"/>
        <item x="16"/>
        <item x="70"/>
        <item x="77"/>
        <item x="95"/>
        <item x="61"/>
        <item x="9"/>
        <item x="67"/>
        <item x="163"/>
        <item x="5"/>
        <item x="62"/>
        <item x="31"/>
        <item x="108"/>
        <item x="71"/>
        <item x="96"/>
        <item x="157"/>
        <item x="78"/>
        <item x="138"/>
        <item x="155"/>
        <item x="150"/>
        <item x="1"/>
        <item x="86"/>
        <item x="97"/>
        <item m="1" x="178"/>
        <item m="1" x="181"/>
        <item x="119"/>
        <item x="137"/>
        <item x="98"/>
        <item x="99"/>
        <item x="43"/>
        <item x="172"/>
        <item x="63"/>
        <item x="68"/>
        <item x="142"/>
        <item x="100"/>
        <item x="101"/>
        <item x="79"/>
        <item x="30"/>
        <item x="139"/>
        <item x="109"/>
        <item x="87"/>
        <item x="40"/>
        <item x="24"/>
        <item x="50"/>
        <item x="121"/>
        <item x="44"/>
        <item x="124"/>
        <item x="84"/>
        <item m="1" x="182"/>
        <item x="159"/>
        <item x="110"/>
        <item x="35"/>
        <item x="132"/>
        <item x="102"/>
        <item x="80"/>
        <item m="1" x="180"/>
        <item m="1" x="177"/>
        <item x="91"/>
        <item x="167"/>
        <item x="166"/>
        <item x="168"/>
        <item x="169"/>
        <item x="170"/>
        <item x="171"/>
        <item x="7"/>
        <item x="173"/>
        <item x="174"/>
        <item x="175"/>
        <item x="176"/>
      </items>
    </pivotField>
    <pivotField showAll="0"/>
    <pivotField showAll="0"/>
    <pivotField showAll="0" defaultSubtotal="0"/>
    <pivotField numFmtId="164" showAll="0" defaultSubtotal="0"/>
    <pivotField numFmtId="164" showAll="0"/>
    <pivotField numFmtId="164" showAll="0"/>
    <pivotField numFmtId="164" showAll="0"/>
    <pivotField numFmtId="164" showAll="0"/>
    <pivotField numFmtId="164" showAll="0"/>
    <pivotField numFmtId="164" showAll="0" defaultSubtotal="0"/>
    <pivotField numFmtId="164" showAll="0"/>
    <pivotField showAll="0"/>
    <pivotField numFmtId="164" showAll="0"/>
    <pivotField numFmtId="164" showAll="0"/>
    <pivotField dataField="1" numFmtId="164" showAll="0"/>
    <pivotField numFmtId="164" showAll="0"/>
    <pivotField showAll="0"/>
    <pivotField axis="axisCol" showAll="0" defaultSubtotal="0">
      <items count="4">
        <item h="1" x="1"/>
        <item x="0"/>
        <item h="1" x="2"/>
        <item h="1" x="3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6"/>
  </rowFields>
  <rowItems count="31">
    <i>
      <x v="2"/>
    </i>
    <i>
      <x v="8"/>
    </i>
    <i>
      <x v="15"/>
    </i>
    <i>
      <x v="34"/>
    </i>
    <i>
      <x v="35"/>
    </i>
    <i>
      <x v="43"/>
    </i>
    <i>
      <x v="48"/>
    </i>
    <i>
      <x v="54"/>
    </i>
    <i>
      <x v="55"/>
    </i>
    <i>
      <x v="63"/>
    </i>
    <i>
      <x v="70"/>
    </i>
    <i>
      <x v="82"/>
    </i>
    <i>
      <x v="87"/>
    </i>
    <i>
      <x v="89"/>
    </i>
    <i>
      <x v="96"/>
    </i>
    <i>
      <x v="99"/>
    </i>
    <i>
      <x v="100"/>
    </i>
    <i>
      <x v="114"/>
    </i>
    <i>
      <x v="116"/>
    </i>
    <i>
      <x v="121"/>
    </i>
    <i>
      <x v="123"/>
    </i>
    <i>
      <x v="124"/>
    </i>
    <i>
      <x v="130"/>
    </i>
    <i>
      <x v="133"/>
    </i>
    <i>
      <x v="135"/>
    </i>
    <i>
      <x v="140"/>
    </i>
    <i>
      <x v="144"/>
    </i>
    <i>
      <x v="166"/>
    </i>
    <i>
      <x v="177"/>
    </i>
    <i>
      <x v="179"/>
    </i>
    <i t="grand">
      <x/>
    </i>
  </rowItems>
  <colFields count="2">
    <field x="24"/>
    <field x="0"/>
  </colFields>
  <colItems count="9"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9"/>
    </i>
    <i t="grand">
      <x/>
    </i>
  </colItems>
  <dataFields count="1">
    <dataField name="Suma de Total" fld="21" baseField="0" baseItem="0" numFmtId="4"/>
  </dataFields>
  <formats count="46">
    <format dxfId="117">
      <pivotArea outline="0" collapsedLevelsAreSubtotals="1" fieldPosition="0"/>
    </format>
    <format dxfId="116">
      <pivotArea dataOnly="0" labelOnly="1" outline="0" axis="axisValues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outline="0" axis="axisValues" fieldPosition="0"/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dataOnly="0" labelOnly="1" fieldPosition="0">
        <references count="1">
          <reference field="6" count="1">
            <x v="53"/>
          </reference>
        </references>
      </pivotArea>
    </format>
    <format dxfId="108">
      <pivotArea dataOnly="0" labelOnly="1" fieldPosition="0">
        <references count="1">
          <reference field="6" count="1">
            <x v="55"/>
          </reference>
        </references>
      </pivotArea>
    </format>
    <format dxfId="107">
      <pivotArea dataOnly="0" labelOnly="1" fieldPosition="0">
        <references count="1">
          <reference field="6" count="1">
            <x v="63"/>
          </reference>
        </references>
      </pivotArea>
    </format>
    <format dxfId="106">
      <pivotArea dataOnly="0" labelOnly="1" fieldPosition="0">
        <references count="1">
          <reference field="6" count="1">
            <x v="116"/>
          </reference>
        </references>
      </pivotArea>
    </format>
    <format dxfId="105">
      <pivotArea dataOnly="0" labelOnly="1" fieldPosition="0">
        <references count="1">
          <reference field="6" count="1">
            <x v="112"/>
          </reference>
        </references>
      </pivotArea>
    </format>
    <format dxfId="104">
      <pivotArea dataOnly="0" labelOnly="1" fieldPosition="0">
        <references count="1">
          <reference field="6" count="23">
            <x v="45"/>
            <x v="48"/>
            <x v="53"/>
            <x v="55"/>
            <x v="58"/>
            <x v="63"/>
            <x v="68"/>
            <x v="82"/>
            <x v="86"/>
            <x v="89"/>
            <x v="94"/>
            <x v="96"/>
            <x v="106"/>
            <x v="112"/>
            <x v="116"/>
            <x v="121"/>
            <x v="124"/>
            <x v="135"/>
            <x v="137"/>
            <x v="144"/>
            <x v="161"/>
            <x v="166"/>
            <x v="168"/>
          </reference>
        </references>
      </pivotArea>
    </format>
    <format dxfId="103">
      <pivotArea dataOnly="0" labelOnly="1" grandCol="1" outline="0" fieldPosition="0"/>
    </format>
    <format dxfId="102">
      <pivotArea dataOnly="0" labelOnly="1" fieldPosition="0">
        <references count="2">
          <reference field="0" count="3">
            <x v="1"/>
            <x v="2"/>
            <x v="3"/>
          </reference>
          <reference field="24" count="0" selected="0"/>
        </references>
      </pivotArea>
    </format>
    <format dxfId="101">
      <pivotArea type="origin" dataOnly="0" labelOnly="1" outline="0" fieldPosition="0"/>
    </format>
    <format dxfId="100">
      <pivotArea dataOnly="0" labelOnly="1" fieldPosition="0">
        <references count="2">
          <reference field="0" count="1">
            <x v="0"/>
          </reference>
          <reference field="24" count="0" selected="0"/>
        </references>
      </pivotArea>
    </format>
    <format dxfId="99">
      <pivotArea dataOnly="0" outline="0" fieldPosition="0">
        <references count="1">
          <reference field="0" count="1">
            <x v="5"/>
          </reference>
        </references>
      </pivotArea>
    </format>
    <format dxfId="98">
      <pivotArea dataOnly="0" labelOnly="1" fieldPosition="0">
        <references count="1">
          <reference field="6" count="1">
            <x v="121"/>
          </reference>
        </references>
      </pivotArea>
    </format>
    <format dxfId="97">
      <pivotArea dataOnly="0" labelOnly="1" fieldPosition="0">
        <references count="1">
          <reference field="6" count="1">
            <x v="124"/>
          </reference>
        </references>
      </pivotArea>
    </format>
    <format dxfId="96">
      <pivotArea dataOnly="0" labelOnly="1" fieldPosition="0">
        <references count="1">
          <reference field="6" count="1">
            <x v="135"/>
          </reference>
        </references>
      </pivotArea>
    </format>
    <format dxfId="95">
      <pivotArea dataOnly="0" labelOnly="1" fieldPosition="0">
        <references count="1">
          <reference field="6" count="1">
            <x v="116"/>
          </reference>
        </references>
      </pivotArea>
    </format>
    <format dxfId="94">
      <pivotArea dataOnly="0" labelOnly="1" fieldPosition="0">
        <references count="1">
          <reference field="6" count="1">
            <x v="43"/>
          </reference>
        </references>
      </pivotArea>
    </format>
    <format dxfId="93">
      <pivotArea dataOnly="0" labelOnly="1" fieldPosition="0">
        <references count="1">
          <reference field="6" count="1">
            <x v="99"/>
          </reference>
        </references>
      </pivotArea>
    </format>
    <format dxfId="92">
      <pivotArea dataOnly="0" labelOnly="1" fieldPosition="0">
        <references count="1">
          <reference field="6" count="1">
            <x v="110"/>
          </reference>
        </references>
      </pivotArea>
    </format>
    <format dxfId="91">
      <pivotArea dataOnly="0" labelOnly="1" fieldPosition="0">
        <references count="1">
          <reference field="6" count="1">
            <x v="89"/>
          </reference>
        </references>
      </pivotArea>
    </format>
    <format dxfId="90">
      <pivotArea dataOnly="0" labelOnly="1" fieldPosition="0">
        <references count="1">
          <reference field="6" count="1">
            <x v="63"/>
          </reference>
        </references>
      </pivotArea>
    </format>
    <format dxfId="89">
      <pivotArea dataOnly="0" labelOnly="1" fieldPosition="0">
        <references count="1">
          <reference field="6" count="1">
            <x v="96"/>
          </reference>
        </references>
      </pivotArea>
    </format>
    <format dxfId="88">
      <pivotArea dataOnly="0" labelOnly="1" fieldPosition="0">
        <references count="2">
          <reference field="0" count="2">
            <x v="6"/>
            <x v="7"/>
          </reference>
          <reference field="24" count="0" selected="0"/>
        </references>
      </pivotArea>
    </format>
    <format dxfId="87">
      <pivotArea outline="0" collapsedLevelsAreSubtotals="1" fieldPosition="0">
        <references count="2">
          <reference field="0" count="1" selected="0">
            <x v="5"/>
          </reference>
          <reference field="24" count="0" selected="0"/>
        </references>
      </pivotArea>
    </format>
    <format dxfId="86">
      <pivotArea dataOnly="0" labelOnly="1" fieldPosition="0">
        <references count="2">
          <reference field="0" count="1">
            <x v="5"/>
          </reference>
          <reference field="24" count="0" selected="0"/>
        </references>
      </pivotArea>
    </format>
    <format dxfId="85">
      <pivotArea outline="0" collapsedLevelsAreSubtotals="1" fieldPosition="0">
        <references count="2">
          <reference field="0" count="2" selected="0">
            <x v="6"/>
            <x v="7"/>
          </reference>
          <reference field="24" count="0" selected="0"/>
        </references>
      </pivotArea>
    </format>
    <format dxfId="84">
      <pivotArea dataOnly="0" labelOnly="1" fieldPosition="0">
        <references count="2">
          <reference field="0" count="2">
            <x v="6"/>
            <x v="7"/>
          </reference>
          <reference field="24" count="0" selected="0"/>
        </references>
      </pivotArea>
    </format>
    <format dxfId="83">
      <pivotArea dataOnly="0" labelOnly="1" fieldPosition="0">
        <references count="1">
          <reference field="6" count="1">
            <x v="89"/>
          </reference>
        </references>
      </pivotArea>
    </format>
    <format dxfId="82">
      <pivotArea dataOnly="0" labelOnly="1" fieldPosition="0">
        <references count="1">
          <reference field="6" count="0"/>
        </references>
      </pivotArea>
    </format>
    <format dxfId="81">
      <pivotArea dataOnly="0" labelOnly="1" fieldPosition="0">
        <references count="1">
          <reference field="6" count="1">
            <x v="179"/>
          </reference>
        </references>
      </pivotArea>
    </format>
    <format dxfId="80">
      <pivotArea dataOnly="0" labelOnly="1" fieldPosition="0">
        <references count="1">
          <reference field="6" count="1">
            <x v="179"/>
          </reference>
        </references>
      </pivotArea>
    </format>
    <format dxfId="79">
      <pivotArea dataOnly="0" labelOnly="1" fieldPosition="0">
        <references count="1">
          <reference field="6" count="1">
            <x v="63"/>
          </reference>
        </references>
      </pivotArea>
    </format>
    <format dxfId="78">
      <pivotArea dataOnly="0" labelOnly="1" fieldPosition="0">
        <references count="1">
          <reference field="6" count="3">
            <x v="53"/>
            <x v="54"/>
            <x v="55"/>
          </reference>
        </references>
      </pivotArea>
    </format>
    <format dxfId="77">
      <pivotArea dataOnly="0" labelOnly="1" fieldPosition="0">
        <references count="1">
          <reference field="6" count="1">
            <x v="99"/>
          </reference>
        </references>
      </pivotArea>
    </format>
    <format dxfId="76">
      <pivotArea dataOnly="0" labelOnly="1" fieldPosition="0">
        <references count="1">
          <reference field="6" count="1">
            <x v="116"/>
          </reference>
        </references>
      </pivotArea>
    </format>
    <format dxfId="75">
      <pivotArea dataOnly="0" labelOnly="1" fieldPosition="0">
        <references count="1">
          <reference field="6" count="1">
            <x v="123"/>
          </reference>
        </references>
      </pivotArea>
    </format>
    <format dxfId="74">
      <pivotArea dataOnly="0" labelOnly="1" fieldPosition="0">
        <references count="1">
          <reference field="6" count="1">
            <x v="144"/>
          </reference>
        </references>
      </pivotArea>
    </format>
    <format dxfId="73">
      <pivotArea dataOnly="0" labelOnly="1" fieldPosition="0">
        <references count="1">
          <reference field="6" count="1">
            <x v="177"/>
          </reference>
        </references>
      </pivotArea>
    </format>
    <format dxfId="72">
      <pivotArea dataOnly="0" labelOnly="1" fieldPosition="0">
        <references count="1">
          <reference field="6" count="24">
            <x v="53"/>
            <x v="54"/>
            <x v="55"/>
            <x v="63"/>
            <x v="70"/>
            <x v="82"/>
            <x v="87"/>
            <x v="89"/>
            <x v="96"/>
            <x v="99"/>
            <x v="100"/>
            <x v="110"/>
            <x v="114"/>
            <x v="116"/>
            <x v="121"/>
            <x v="123"/>
            <x v="124"/>
            <x v="130"/>
            <x v="133"/>
            <x v="135"/>
            <x v="140"/>
            <x v="144"/>
            <x v="166"/>
            <x v="17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a3" displayName="Tabla3" ref="A1:AI3" totalsRowShown="0">
  <autoFilter ref="A1:AI3"/>
  <tableColumns count="35">
    <tableColumn id="1" name="Mes"/>
    <tableColumn id="2" name="Fecha" dataDxfId="118"/>
    <tableColumn id="3" name="Comprobante"/>
    <tableColumn id="4" name="Tipo"/>
    <tableColumn id="5" name="Punto de Venta"/>
    <tableColumn id="6" name="Número de Comprobante"/>
    <tableColumn id="7" name="Proveedor / Razón Social"/>
    <tableColumn id="8" name="CUIT"/>
    <tableColumn id="9" name="Descripción"/>
    <tableColumn id="10" name="Moneda"/>
    <tableColumn id="11" name="Tipo de Cambio"/>
    <tableColumn id="12" name="Neto"/>
    <tableColumn id="13" name="IVA 21%"/>
    <tableColumn id="14" name="IVA 10,5%"/>
    <tableColumn id="15" name="IVA 27%"/>
    <tableColumn id="16" name="No Gravado"/>
    <tableColumn id="17" name="Exento"/>
    <tableColumn id="18" name="Percepcion IVA 3%"/>
    <tableColumn id="19" name="Percepcion IIBB Salta 3,6%"/>
    <tableColumn id="20" name="Impuestos Internos / Otros Tributos"/>
    <tableColumn id="21" name="Credito Fiscal"/>
    <tableColumn id="22" name="Total"/>
    <tableColumn id="23" name="Total a Pagar"/>
    <tableColumn id="24" name="SICORE"/>
    <tableColumn id="25" name="Estado"/>
    <tableColumn id="26" name="Fecha de Pago"/>
    <tableColumn id="27" name="Banco Macro CC"/>
    <tableColumn id="28" name="Banco Macro CC Esp."/>
    <tableColumn id="29" name="Saldo S/Contabilidad"/>
    <tableColumn id="30" name="PROVISIONES 2023"/>
    <tableColumn id="31" name="ANTICIPOS A PROV.2023"/>
    <tableColumn id="32" name="Ajustes"/>
    <tableColumn id="33" name="Caja"/>
    <tableColumn id="34" name="Saldo S/Auditoria"/>
    <tableColumn id="35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4:AJ545" totalsRowShown="0" headerRowDxfId="71" dataDxfId="69" headerRowBorderDxfId="70" tableBorderDxfId="68" headerRowCellStyle="Millares">
  <autoFilter ref="A4:AJ545">
    <filterColumn colId="6">
      <filters>
        <filter val="FARMACORP S.A.S."/>
      </filters>
    </filterColumn>
  </autoFilter>
  <sortState ref="A5:AH510">
    <sortCondition ref="B4:B510"/>
  </sortState>
  <tableColumns count="36">
    <tableColumn id="1" name="Mes" dataDxfId="67"/>
    <tableColumn id="2" name="Fecha" dataDxfId="66"/>
    <tableColumn id="3" name="Comprobante" dataDxfId="65"/>
    <tableColumn id="4" name="Tipo" dataDxfId="64"/>
    <tableColumn id="5" name="Punto de Venta" dataDxfId="63"/>
    <tableColumn id="6" name="Número de Comprobante" dataDxfId="62"/>
    <tableColumn id="7" name="Proveedor / Razón Social" dataDxfId="61"/>
    <tableColumn id="34" name="CUIT" dataDxfId="60"/>
    <tableColumn id="8" name="Descripción" dataDxfId="59"/>
    <tableColumn id="33" name="Moneda" dataDxfId="58"/>
    <tableColumn id="9" name="Tipo de Cambio" dataDxfId="57" dataCellStyle="Millares"/>
    <tableColumn id="10" name="Neto" dataDxfId="56" dataCellStyle="Millares"/>
    <tableColumn id="11" name="IVA 21%" dataDxfId="55" dataCellStyle="Millares"/>
    <tableColumn id="12" name="IVA 10,5%" dataDxfId="54" dataCellStyle="Millares"/>
    <tableColumn id="13" name="IVA 27%" dataDxfId="53" dataCellStyle="Millares"/>
    <tableColumn id="14" name="No Gravado" dataDxfId="52" dataCellStyle="Millares"/>
    <tableColumn id="15" name="Exento" dataDxfId="51" dataCellStyle="Millares"/>
    <tableColumn id="16" name="Percepcion IVA 3%" dataDxfId="50" dataCellStyle="Millares"/>
    <tableColumn id="17" name="Percepcion IIBB Salta 3,6%" dataDxfId="49" dataCellStyle="Millares"/>
    <tableColumn id="18" name="Impuestos Internos / Otros Tributos" dataDxfId="48" dataCellStyle="Millares"/>
    <tableColumn id="19" name="Credito Fiscal" dataDxfId="47" dataCellStyle="Millares">
      <calculatedColumnFormula>+SUM(Tabla1[[#This Row],[IVA 21%]:[IVA 27%]])</calculatedColumnFormula>
    </tableColumn>
    <tableColumn id="20" name="Total" dataDxfId="46" dataCellStyle="Millares"/>
    <tableColumn id="21" name="Total a Pagar" dataDxfId="45" dataCellStyle="Millares"/>
    <tableColumn id="22" name="SICORE" dataDxfId="44" dataCellStyle="Millares"/>
    <tableColumn id="31" name="Estado" dataDxfId="43"/>
    <tableColumn id="36" name="Facha Vto FC" dataDxfId="42" dataCellStyle="Millares"/>
    <tableColumn id="32" name="Fecha de Pago" dataDxfId="41" dataCellStyle="Millares"/>
    <tableColumn id="23" name="Banco Macro CC" dataDxfId="40" dataCellStyle="Millares"/>
    <tableColumn id="24" name="Banco Macro CC Esp." dataDxfId="39"/>
    <tableColumn id="25" name="Saldo S/Contabilidad" dataDxfId="38"/>
    <tableColumn id="26" name="PROVISIONES 2023" dataDxfId="37"/>
    <tableColumn id="27" name="ANTICIPOS A PROV.2023" dataDxfId="36"/>
    <tableColumn id="28" name="Ajustes" dataDxfId="35"/>
    <tableColumn id="29" name="Caja" dataDxfId="34" dataCellStyle="Millares"/>
    <tableColumn id="30" name="Saldo S/Auditoria" dataDxfId="33"/>
    <tableColumn id="35" name="observaciones" dataDxfId="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a2" displayName="Tabla2" ref="A3:AG207" totalsRowShown="0" headerRowDxfId="31" dataDxfId="30" headerRowCellStyle="Millares" dataCellStyle="Millares">
  <autoFilter ref="A3:AG207"/>
  <sortState ref="A4:AG207">
    <sortCondition ref="B3:B207"/>
  </sortState>
  <tableColumns count="33">
    <tableColumn id="1" name="Mes" dataDxfId="29"/>
    <tableColumn id="2" name="Fecha" dataDxfId="28"/>
    <tableColumn id="3" name="Comprobante" dataDxfId="27"/>
    <tableColumn id="4" name="Tipo" dataDxfId="26"/>
    <tableColumn id="5" name="Punto de Venta" dataDxfId="25"/>
    <tableColumn id="6" name="Número de Comprobante" dataDxfId="24"/>
    <tableColumn id="7" name="Proveedor / Razón Social"/>
    <tableColumn id="8" name="CUIT"/>
    <tableColumn id="9" name="Descripción"/>
    <tableColumn id="10" name="Moneda" dataDxfId="23"/>
    <tableColumn id="11" name="Neto" dataDxfId="22" dataCellStyle="Millares"/>
    <tableColumn id="12" name="IVA 21%" dataDxfId="21" dataCellStyle="Millares"/>
    <tableColumn id="13" name="IVA 10,5%" dataDxfId="20" dataCellStyle="Millares"/>
    <tableColumn id="14" name="IVA 27%" dataDxfId="19" dataCellStyle="Millares"/>
    <tableColumn id="15" name="No Gravado" dataDxfId="18" dataCellStyle="Millares"/>
    <tableColumn id="16" name="Exento" dataDxfId="17" dataCellStyle="Millares"/>
    <tableColumn id="17" name="Percepcion IVA 3%" dataDxfId="16" dataCellStyle="Millares"/>
    <tableColumn id="18" name="Percepcion IIBB Salta 3,6%" dataDxfId="15" dataCellStyle="Millares"/>
    <tableColumn id="19" name="Impuestos Internos / Otros Tributos" dataDxfId="14" dataCellStyle="Millares"/>
    <tableColumn id="20" name="Credito Fiscal" dataDxfId="13" dataCellStyle="Millares"/>
    <tableColumn id="21" name="Total" dataDxfId="12" dataCellStyle="Millares"/>
    <tableColumn id="22" name="Total a Pagar" dataDxfId="11" dataCellStyle="Millares"/>
    <tableColumn id="23" name="SICORE" dataDxfId="10" dataCellStyle="Millares"/>
    <tableColumn id="24" name="Estado" dataDxfId="9" dataCellStyle="Millares"/>
    <tableColumn id="25" name="Fecha de Pago" dataDxfId="8"/>
    <tableColumn id="26" name="Banco Macro CC" dataDxfId="7" dataCellStyle="Millares"/>
    <tableColumn id="27" name="Banco Macro CC Esp." dataDxfId="6" dataCellStyle="Millares"/>
    <tableColumn id="28" name="Saldo S/Contabilidad" dataDxfId="5" dataCellStyle="Millares"/>
    <tableColumn id="29" name="PROVISIONES 2023" dataDxfId="4" dataCellStyle="Millares"/>
    <tableColumn id="30" name="ANTICIPOS A PROV.2023" dataDxfId="3" dataCellStyle="Millares"/>
    <tableColumn id="31" name="Ajustes" dataDxfId="2" dataCellStyle="Millares"/>
    <tableColumn id="32" name="Caja" dataDxfId="1" dataCellStyle="Millares"/>
    <tableColumn id="33" name="Saldo S/Auditoria" dataDxfId="0" dataCellStyle="Millar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topLeftCell="N1" workbookViewId="0">
      <selection activeCell="Z2" sqref="Z2"/>
    </sheetView>
  </sheetViews>
  <sheetFormatPr baseColWidth="10" defaultRowHeight="14.4" x14ac:dyDescent="0.3"/>
  <cols>
    <col min="3" max="3" width="15.33203125" customWidth="1"/>
    <col min="5" max="5" width="16.88671875" customWidth="1"/>
    <col min="6" max="6" width="25.6640625" customWidth="1"/>
    <col min="7" max="7" width="25" customWidth="1"/>
    <col min="9" max="9" width="13.44140625" customWidth="1"/>
    <col min="11" max="11" width="16.88671875" customWidth="1"/>
    <col min="14" max="14" width="11.88671875" customWidth="1"/>
    <col min="16" max="16" width="13.5546875" customWidth="1"/>
    <col min="18" max="18" width="19.5546875" hidden="1" customWidth="1"/>
    <col min="19" max="19" width="26.109375" hidden="1" customWidth="1"/>
    <col min="20" max="20" width="34.5546875" hidden="1" customWidth="1"/>
    <col min="21" max="21" width="15" customWidth="1"/>
    <col min="23" max="23" width="14.33203125" customWidth="1"/>
    <col min="26" max="26" width="15.6640625" customWidth="1"/>
    <col min="27" max="27" width="17.109375" customWidth="1"/>
    <col min="28" max="28" width="21.109375" customWidth="1"/>
    <col min="29" max="29" width="21.5546875" customWidth="1"/>
    <col min="30" max="30" width="19.5546875" customWidth="1"/>
    <col min="31" max="31" width="24.44140625" customWidth="1"/>
    <col min="34" max="34" width="18.5546875" customWidth="1"/>
    <col min="35" max="35" width="12" customWidth="1"/>
  </cols>
  <sheetData>
    <row r="1" spans="1:35" x14ac:dyDescent="0.3">
      <c r="A1" t="s">
        <v>2</v>
      </c>
      <c r="B1" t="s">
        <v>3</v>
      </c>
      <c r="C1" t="s">
        <v>204</v>
      </c>
      <c r="D1" t="s">
        <v>4</v>
      </c>
      <c r="E1" t="s">
        <v>205</v>
      </c>
      <c r="F1" t="s">
        <v>500</v>
      </c>
      <c r="G1" t="s">
        <v>364</v>
      </c>
      <c r="H1" t="s">
        <v>6</v>
      </c>
      <c r="I1" t="s">
        <v>5</v>
      </c>
      <c r="J1" t="s">
        <v>380</v>
      </c>
      <c r="K1" t="s">
        <v>875</v>
      </c>
      <c r="L1" t="s">
        <v>7</v>
      </c>
      <c r="M1" t="s">
        <v>8</v>
      </c>
      <c r="N1" t="s">
        <v>9</v>
      </c>
      <c r="O1" t="s">
        <v>10</v>
      </c>
      <c r="P1" t="s">
        <v>206</v>
      </c>
      <c r="Q1" t="s">
        <v>501</v>
      </c>
      <c r="R1" t="s">
        <v>11</v>
      </c>
      <c r="S1" t="s">
        <v>12</v>
      </c>
      <c r="T1" t="s">
        <v>13</v>
      </c>
      <c r="U1" t="s">
        <v>207</v>
      </c>
      <c r="V1" t="s">
        <v>14</v>
      </c>
      <c r="W1" t="s">
        <v>15</v>
      </c>
      <c r="X1" t="s">
        <v>16</v>
      </c>
      <c r="Y1" t="s">
        <v>323</v>
      </c>
      <c r="Z1" t="s">
        <v>335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951</v>
      </c>
    </row>
    <row r="2" spans="1:35" x14ac:dyDescent="0.3">
      <c r="A2" t="s">
        <v>337</v>
      </c>
      <c r="B2" s="230">
        <v>45582</v>
      </c>
      <c r="C2" t="s">
        <v>26</v>
      </c>
      <c r="D2" t="s">
        <v>58</v>
      </c>
      <c r="E2" t="s">
        <v>37</v>
      </c>
      <c r="F2" t="s">
        <v>706</v>
      </c>
      <c r="G2" t="s">
        <v>131</v>
      </c>
      <c r="H2">
        <v>30712291237</v>
      </c>
      <c r="I2" t="s">
        <v>132</v>
      </c>
      <c r="J2" t="s">
        <v>381</v>
      </c>
      <c r="K2">
        <v>1</v>
      </c>
      <c r="L2">
        <v>288660</v>
      </c>
      <c r="M2">
        <v>60618.6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60618.6</v>
      </c>
      <c r="V2">
        <v>349278.6</v>
      </c>
      <c r="W2">
        <v>349278.6</v>
      </c>
      <c r="X2">
        <v>1293.2</v>
      </c>
    </row>
    <row r="3" spans="1:35" x14ac:dyDescent="0.3">
      <c r="A3" t="s">
        <v>711</v>
      </c>
      <c r="B3" s="230">
        <v>45607</v>
      </c>
      <c r="C3" t="s">
        <v>26</v>
      </c>
      <c r="D3" t="s">
        <v>58</v>
      </c>
      <c r="E3" t="s">
        <v>37</v>
      </c>
      <c r="F3" t="s">
        <v>850</v>
      </c>
      <c r="G3" t="s">
        <v>131</v>
      </c>
      <c r="H3">
        <v>30712291237</v>
      </c>
      <c r="I3" t="s">
        <v>132</v>
      </c>
      <c r="J3" t="s">
        <v>381</v>
      </c>
      <c r="K3">
        <v>1</v>
      </c>
      <c r="L3">
        <v>599798</v>
      </c>
      <c r="M3">
        <v>125957.58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125957.58</v>
      </c>
      <c r="V3">
        <v>725755.58</v>
      </c>
      <c r="W3">
        <v>725755.58</v>
      </c>
      <c r="X3">
        <v>0</v>
      </c>
      <c r="Y3" t="s">
        <v>325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169"/>
  <sheetViews>
    <sheetView showGridLines="0" topLeftCell="A10" zoomScaleNormal="100" workbookViewId="0">
      <selection activeCell="J30" sqref="J30"/>
    </sheetView>
  </sheetViews>
  <sheetFormatPr baseColWidth="10" defaultColWidth="11.5546875" defaultRowHeight="13.8" x14ac:dyDescent="0.3"/>
  <cols>
    <col min="1" max="1" width="31.44140625" style="4" customWidth="1"/>
    <col min="2" max="2" width="20.21875" style="17" customWidth="1"/>
    <col min="3" max="3" width="10" style="4" customWidth="1"/>
    <col min="4" max="4" width="11.5546875" style="4" customWidth="1"/>
    <col min="5" max="5" width="12.5546875" style="4" customWidth="1"/>
    <col min="6" max="6" width="11.5546875" style="159" customWidth="1"/>
    <col min="7" max="8" width="9" style="159" customWidth="1"/>
    <col min="9" max="9" width="11.5546875" style="4" customWidth="1"/>
    <col min="10" max="10" width="12.5546875" style="4" bestFit="1" customWidth="1"/>
    <col min="11" max="11" width="10" style="4" customWidth="1"/>
    <col min="12" max="13" width="9" style="4" customWidth="1"/>
    <col min="14" max="14" width="11.5546875" style="4"/>
    <col min="15" max="15" width="7.5546875" style="4" customWidth="1"/>
    <col min="16" max="16" width="13.5546875" style="4" bestFit="1" customWidth="1"/>
    <col min="17" max="16384" width="11.5546875" style="4"/>
  </cols>
  <sheetData>
    <row r="1" spans="1:16" x14ac:dyDescent="0.3">
      <c r="A1" s="20" t="s">
        <v>593</v>
      </c>
    </row>
    <row r="2" spans="1:16" x14ac:dyDescent="0.3">
      <c r="A2" s="2" t="s">
        <v>839</v>
      </c>
    </row>
    <row r="3" spans="1:16" ht="14.4" x14ac:dyDescent="0.3">
      <c r="A3" s="77" t="s">
        <v>237</v>
      </c>
      <c r="B3" s="18" t="s">
        <v>327</v>
      </c>
      <c r="F3" s="4"/>
      <c r="G3" s="4"/>
      <c r="H3" s="4"/>
      <c r="K3"/>
      <c r="L3"/>
      <c r="M3"/>
      <c r="N3"/>
      <c r="O3"/>
      <c r="P3"/>
    </row>
    <row r="4" spans="1:16" ht="14.4" x14ac:dyDescent="0.3">
      <c r="A4" s="11"/>
      <c r="B4" s="4" t="s">
        <v>325</v>
      </c>
      <c r="F4" s="4"/>
      <c r="G4" s="4"/>
      <c r="H4" s="4"/>
      <c r="J4" s="8" t="s">
        <v>236</v>
      </c>
      <c r="K4"/>
      <c r="L4"/>
      <c r="M4"/>
      <c r="N4"/>
      <c r="O4"/>
      <c r="P4"/>
    </row>
    <row r="5" spans="1:16" ht="14.4" x14ac:dyDescent="0.3">
      <c r="A5" s="18" t="s">
        <v>235</v>
      </c>
      <c r="B5" s="8" t="s">
        <v>496</v>
      </c>
      <c r="C5" s="8" t="s">
        <v>318</v>
      </c>
      <c r="D5" s="8" t="s">
        <v>25</v>
      </c>
      <c r="E5" s="8" t="s">
        <v>337</v>
      </c>
      <c r="F5" s="8" t="s">
        <v>711</v>
      </c>
      <c r="G5" s="8" t="s">
        <v>805</v>
      </c>
      <c r="H5" s="8" t="s">
        <v>808</v>
      </c>
      <c r="I5" s="4" t="s">
        <v>966</v>
      </c>
      <c r="J5" s="8"/>
      <c r="K5"/>
      <c r="L5"/>
      <c r="M5"/>
      <c r="N5"/>
      <c r="O5"/>
      <c r="P5"/>
    </row>
    <row r="6" spans="1:16" ht="14.4" x14ac:dyDescent="0.3">
      <c r="A6" s="66" t="s">
        <v>393</v>
      </c>
      <c r="C6" s="17"/>
      <c r="D6" s="17"/>
      <c r="E6" s="17">
        <v>100000</v>
      </c>
      <c r="F6" s="160"/>
      <c r="G6" s="160"/>
      <c r="H6" s="160"/>
      <c r="I6" s="17"/>
      <c r="J6" s="17">
        <v>100000</v>
      </c>
      <c r="K6"/>
      <c r="L6"/>
      <c r="M6"/>
      <c r="N6"/>
      <c r="O6"/>
      <c r="P6"/>
    </row>
    <row r="7" spans="1:16" ht="14.4" x14ac:dyDescent="0.3">
      <c r="A7" s="66" t="s">
        <v>89</v>
      </c>
      <c r="C7" s="17"/>
      <c r="D7" s="17"/>
      <c r="E7" s="17">
        <v>67653.753519999998</v>
      </c>
      <c r="F7" s="160"/>
      <c r="G7" s="160"/>
      <c r="H7" s="160"/>
      <c r="I7" s="17"/>
      <c r="J7" s="17">
        <v>67653.753519999998</v>
      </c>
      <c r="K7"/>
      <c r="L7"/>
      <c r="M7"/>
      <c r="N7"/>
      <c r="O7"/>
      <c r="P7"/>
    </row>
    <row r="8" spans="1:16" ht="14.4" x14ac:dyDescent="0.3">
      <c r="A8" s="66" t="s">
        <v>601</v>
      </c>
      <c r="C8" s="17"/>
      <c r="D8" s="17"/>
      <c r="E8" s="17">
        <v>152758.17748000001</v>
      </c>
      <c r="F8" s="160"/>
      <c r="G8" s="160"/>
      <c r="H8" s="160"/>
      <c r="I8" s="17"/>
      <c r="J8" s="17">
        <v>152758.17748000001</v>
      </c>
      <c r="K8"/>
      <c r="L8"/>
      <c r="M8"/>
      <c r="N8"/>
      <c r="O8"/>
      <c r="P8"/>
    </row>
    <row r="9" spans="1:16" ht="14.4" x14ac:dyDescent="0.3">
      <c r="A9" s="66" t="s">
        <v>623</v>
      </c>
      <c r="C9" s="17"/>
      <c r="D9" s="17"/>
      <c r="E9" s="17">
        <v>139416.82920000001</v>
      </c>
      <c r="F9" s="160"/>
      <c r="G9" s="160"/>
      <c r="H9" s="160"/>
      <c r="I9" s="17"/>
      <c r="J9" s="17">
        <v>139416.82920000001</v>
      </c>
      <c r="K9"/>
      <c r="L9"/>
      <c r="M9"/>
      <c r="N9"/>
      <c r="O9"/>
      <c r="P9"/>
    </row>
    <row r="10" spans="1:16" ht="14.4" x14ac:dyDescent="0.3">
      <c r="A10" s="66" t="s">
        <v>793</v>
      </c>
      <c r="B10" s="17">
        <v>12000</v>
      </c>
      <c r="C10" s="17">
        <v>12000</v>
      </c>
      <c r="D10" s="17">
        <v>12000</v>
      </c>
      <c r="E10" s="17">
        <v>12000</v>
      </c>
      <c r="F10" s="160">
        <v>12000</v>
      </c>
      <c r="G10" s="160">
        <v>12000</v>
      </c>
      <c r="H10" s="160">
        <v>12000</v>
      </c>
      <c r="I10" s="17"/>
      <c r="J10" s="17">
        <v>84000</v>
      </c>
      <c r="K10"/>
      <c r="L10"/>
      <c r="M10"/>
      <c r="N10"/>
      <c r="O10"/>
      <c r="P10"/>
    </row>
    <row r="11" spans="1:16" ht="14.4" x14ac:dyDescent="0.3">
      <c r="A11" s="66" t="s">
        <v>654</v>
      </c>
      <c r="C11" s="17"/>
      <c r="D11" s="17"/>
      <c r="E11" s="17">
        <v>5172750</v>
      </c>
      <c r="F11" s="160"/>
      <c r="G11" s="160"/>
      <c r="H11" s="160"/>
      <c r="I11" s="17"/>
      <c r="J11" s="17">
        <v>5172750</v>
      </c>
      <c r="K11"/>
      <c r="L11"/>
      <c r="M11"/>
      <c r="N11"/>
      <c r="O11"/>
      <c r="P11"/>
    </row>
    <row r="12" spans="1:16" ht="14.4" x14ac:dyDescent="0.3">
      <c r="A12" s="66" t="s">
        <v>420</v>
      </c>
      <c r="C12" s="17"/>
      <c r="D12" s="17">
        <v>269000.00049999997</v>
      </c>
      <c r="E12" s="17"/>
      <c r="F12" s="160"/>
      <c r="G12" s="160"/>
      <c r="H12" s="160"/>
      <c r="I12" s="17"/>
      <c r="J12" s="17">
        <v>269000.00049999997</v>
      </c>
      <c r="K12"/>
      <c r="L12"/>
      <c r="M12"/>
      <c r="N12"/>
      <c r="O12"/>
      <c r="P12"/>
    </row>
    <row r="13" spans="1:16" ht="14.4" x14ac:dyDescent="0.3">
      <c r="A13" s="66" t="s">
        <v>352</v>
      </c>
      <c r="C13" s="17"/>
      <c r="D13" s="17"/>
      <c r="E13" s="17">
        <v>1469638.4876000001</v>
      </c>
      <c r="F13" s="160"/>
      <c r="G13" s="160"/>
      <c r="H13" s="160"/>
      <c r="I13" s="17"/>
      <c r="J13" s="17">
        <v>1469638.4876000001</v>
      </c>
      <c r="K13"/>
      <c r="L13"/>
      <c r="M13"/>
      <c r="N13"/>
      <c r="O13"/>
      <c r="P13"/>
    </row>
    <row r="14" spans="1:16" ht="14.4" x14ac:dyDescent="0.3">
      <c r="A14" s="66" t="s">
        <v>270</v>
      </c>
      <c r="C14" s="17">
        <v>581409.26760000002</v>
      </c>
      <c r="D14" s="17">
        <v>163516.03999999998</v>
      </c>
      <c r="E14" s="17"/>
      <c r="F14" s="160"/>
      <c r="G14" s="160"/>
      <c r="H14" s="160"/>
      <c r="I14" s="17"/>
      <c r="J14" s="17">
        <v>744925.30759999994</v>
      </c>
      <c r="K14"/>
      <c r="L14"/>
      <c r="M14"/>
      <c r="N14"/>
      <c r="O14"/>
      <c r="P14"/>
    </row>
    <row r="15" spans="1:16" ht="14.4" x14ac:dyDescent="0.3">
      <c r="A15" s="66" t="s">
        <v>146</v>
      </c>
      <c r="C15" s="17"/>
      <c r="D15" s="17"/>
      <c r="E15" s="17"/>
      <c r="F15" s="160"/>
      <c r="G15" s="160"/>
      <c r="H15" s="160"/>
      <c r="I15" s="17">
        <v>5445833.5099999998</v>
      </c>
      <c r="J15" s="17">
        <v>5445833.5099999998</v>
      </c>
      <c r="K15"/>
      <c r="L15"/>
      <c r="M15"/>
      <c r="N15"/>
      <c r="O15"/>
      <c r="P15"/>
    </row>
    <row r="16" spans="1:16" ht="14.4" x14ac:dyDescent="0.3">
      <c r="A16" s="66" t="s">
        <v>218</v>
      </c>
      <c r="C16" s="17"/>
      <c r="D16" s="17"/>
      <c r="E16" s="17"/>
      <c r="F16" s="160">
        <v>260000</v>
      </c>
      <c r="G16" s="160"/>
      <c r="H16" s="160"/>
      <c r="I16" s="17"/>
      <c r="J16" s="17">
        <v>260000</v>
      </c>
      <c r="K16"/>
      <c r="L16"/>
      <c r="M16"/>
      <c r="N16"/>
      <c r="O16"/>
      <c r="P16"/>
    </row>
    <row r="17" spans="1:16" ht="14.4" x14ac:dyDescent="0.3">
      <c r="A17" s="66" t="s">
        <v>430</v>
      </c>
      <c r="C17" s="17"/>
      <c r="D17" s="17">
        <v>45000</v>
      </c>
      <c r="E17" s="17"/>
      <c r="F17" s="160"/>
      <c r="G17" s="160"/>
      <c r="H17" s="160"/>
      <c r="I17" s="17"/>
      <c r="J17" s="17">
        <v>45000</v>
      </c>
      <c r="K17"/>
      <c r="L17"/>
      <c r="M17"/>
      <c r="N17"/>
      <c r="O17"/>
      <c r="P17"/>
    </row>
    <row r="18" spans="1:16" ht="14.4" x14ac:dyDescent="0.3">
      <c r="A18" s="66" t="s">
        <v>126</v>
      </c>
      <c r="C18" s="17"/>
      <c r="D18" s="17"/>
      <c r="E18" s="17"/>
      <c r="F18" s="160">
        <v>33200.004200000003</v>
      </c>
      <c r="G18" s="160"/>
      <c r="H18" s="160"/>
      <c r="I18" s="17"/>
      <c r="J18" s="17">
        <v>33200.004200000003</v>
      </c>
      <c r="K18"/>
      <c r="L18"/>
      <c r="M18"/>
      <c r="N18"/>
      <c r="O18"/>
      <c r="P18"/>
    </row>
    <row r="19" spans="1:16" ht="14.4" x14ac:dyDescent="0.3">
      <c r="A19" s="66" t="s">
        <v>349</v>
      </c>
      <c r="C19" s="17"/>
      <c r="D19" s="17"/>
      <c r="E19" s="17">
        <v>2151637.4879999999</v>
      </c>
      <c r="F19" s="160"/>
      <c r="G19" s="160"/>
      <c r="H19" s="160"/>
      <c r="I19" s="17"/>
      <c r="J19" s="17">
        <v>2151637.4879999999</v>
      </c>
      <c r="K19"/>
      <c r="L19"/>
      <c r="M19"/>
      <c r="N19"/>
      <c r="O19"/>
      <c r="P19"/>
    </row>
    <row r="20" spans="1:16" ht="14.4" x14ac:dyDescent="0.3">
      <c r="A20" s="66" t="s">
        <v>427</v>
      </c>
      <c r="C20" s="17"/>
      <c r="D20" s="17"/>
      <c r="E20" s="17"/>
      <c r="F20" s="160"/>
      <c r="G20" s="160"/>
      <c r="H20" s="160"/>
      <c r="I20" s="17">
        <v>160196.7763</v>
      </c>
      <c r="J20" s="17">
        <v>160196.7763</v>
      </c>
      <c r="K20"/>
      <c r="L20"/>
      <c r="M20"/>
      <c r="N20"/>
      <c r="O20"/>
      <c r="P20"/>
    </row>
    <row r="21" spans="1:16" ht="14.4" x14ac:dyDescent="0.3">
      <c r="A21" s="66" t="s">
        <v>661</v>
      </c>
      <c r="C21" s="17"/>
      <c r="D21" s="17"/>
      <c r="E21" s="17">
        <v>876972.58380000002</v>
      </c>
      <c r="F21" s="160"/>
      <c r="G21" s="160"/>
      <c r="H21" s="160"/>
      <c r="I21" s="17"/>
      <c r="J21" s="17">
        <v>876972.58380000002</v>
      </c>
      <c r="K21"/>
      <c r="L21"/>
      <c r="M21"/>
      <c r="N21"/>
      <c r="O21"/>
      <c r="P21"/>
    </row>
    <row r="22" spans="1:16" ht="14.4" x14ac:dyDescent="0.3">
      <c r="A22" s="66" t="s">
        <v>212</v>
      </c>
      <c r="C22" s="17"/>
      <c r="D22" s="17"/>
      <c r="E22" s="17"/>
      <c r="F22" s="160">
        <v>704884.71349999995</v>
      </c>
      <c r="G22" s="160"/>
      <c r="H22" s="160"/>
      <c r="I22" s="17"/>
      <c r="J22" s="17">
        <v>704884.71349999995</v>
      </c>
      <c r="K22"/>
      <c r="L22"/>
      <c r="M22"/>
      <c r="N22"/>
      <c r="O22"/>
      <c r="P22"/>
    </row>
    <row r="23" spans="1:16" ht="14.4" x14ac:dyDescent="0.3">
      <c r="A23" s="66" t="s">
        <v>155</v>
      </c>
      <c r="C23" s="17"/>
      <c r="D23" s="17"/>
      <c r="E23" s="17"/>
      <c r="F23" s="160">
        <v>61710</v>
      </c>
      <c r="G23" s="160"/>
      <c r="H23" s="160"/>
      <c r="I23" s="17">
        <v>68970</v>
      </c>
      <c r="J23" s="17">
        <v>130680</v>
      </c>
      <c r="K23"/>
      <c r="L23"/>
      <c r="M23"/>
      <c r="N23"/>
      <c r="O23"/>
      <c r="P23"/>
    </row>
    <row r="24" spans="1:16" ht="14.4" x14ac:dyDescent="0.3">
      <c r="A24" s="66" t="s">
        <v>552</v>
      </c>
      <c r="C24" s="17"/>
      <c r="D24" s="17"/>
      <c r="E24" s="17">
        <v>6592000</v>
      </c>
      <c r="F24" s="160"/>
      <c r="G24" s="160"/>
      <c r="H24" s="160"/>
      <c r="I24" s="17"/>
      <c r="J24" s="17">
        <v>6592000</v>
      </c>
      <c r="K24"/>
      <c r="L24"/>
      <c r="M24"/>
      <c r="N24"/>
      <c r="O24"/>
      <c r="P24"/>
    </row>
    <row r="25" spans="1:16" ht="14.4" x14ac:dyDescent="0.3">
      <c r="A25" s="66" t="s">
        <v>153</v>
      </c>
      <c r="C25" s="17">
        <v>267383.77929999999</v>
      </c>
      <c r="D25" s="17"/>
      <c r="E25" s="17">
        <v>413596.87599999999</v>
      </c>
      <c r="F25" s="160">
        <v>577857.84869999997</v>
      </c>
      <c r="G25" s="160"/>
      <c r="H25" s="160"/>
      <c r="I25" s="17"/>
      <c r="J25" s="17">
        <v>1258838.504</v>
      </c>
      <c r="K25"/>
      <c r="L25"/>
      <c r="M25"/>
      <c r="N25"/>
      <c r="O25"/>
      <c r="P25"/>
    </row>
    <row r="26" spans="1:16" ht="14.4" x14ac:dyDescent="0.3">
      <c r="A26" s="66" t="s">
        <v>843</v>
      </c>
      <c r="C26" s="17"/>
      <c r="D26" s="17"/>
      <c r="E26" s="17"/>
      <c r="F26" s="160">
        <v>2502585.5225000004</v>
      </c>
      <c r="G26" s="160"/>
      <c r="H26" s="160"/>
      <c r="I26" s="17"/>
      <c r="J26" s="17">
        <v>2502585.5225000004</v>
      </c>
      <c r="K26"/>
      <c r="L26"/>
      <c r="M26"/>
      <c r="N26"/>
      <c r="O26"/>
      <c r="P26"/>
    </row>
    <row r="27" spans="1:16" ht="14.4" x14ac:dyDescent="0.3">
      <c r="A27" s="66" t="s">
        <v>282</v>
      </c>
      <c r="C27" s="17"/>
      <c r="D27" s="17"/>
      <c r="E27" s="17"/>
      <c r="F27" s="160"/>
      <c r="G27" s="160"/>
      <c r="H27" s="160"/>
      <c r="I27" s="17">
        <v>1333158.67188</v>
      </c>
      <c r="J27" s="17">
        <v>1333158.67188</v>
      </c>
      <c r="K27"/>
      <c r="L27"/>
      <c r="M27"/>
      <c r="N27"/>
      <c r="O27"/>
      <c r="P27"/>
    </row>
    <row r="28" spans="1:16" ht="14.4" x14ac:dyDescent="0.3">
      <c r="A28" s="66" t="s">
        <v>672</v>
      </c>
      <c r="C28" s="17"/>
      <c r="D28" s="17"/>
      <c r="E28" s="17">
        <v>86286.7</v>
      </c>
      <c r="F28" s="160"/>
      <c r="G28" s="160"/>
      <c r="H28" s="160"/>
      <c r="I28" s="17"/>
      <c r="J28" s="17">
        <v>86286.7</v>
      </c>
      <c r="K28"/>
      <c r="L28"/>
      <c r="M28"/>
      <c r="N28"/>
      <c r="O28"/>
      <c r="P28"/>
    </row>
    <row r="29" spans="1:16" ht="14.4" x14ac:dyDescent="0.3">
      <c r="A29" s="66" t="s">
        <v>670</v>
      </c>
      <c r="C29" s="17"/>
      <c r="D29" s="17"/>
      <c r="E29" s="17">
        <v>12241.327000000001</v>
      </c>
      <c r="F29" s="160"/>
      <c r="G29" s="160"/>
      <c r="H29" s="160"/>
      <c r="I29" s="17"/>
      <c r="J29" s="17">
        <v>12241.327000000001</v>
      </c>
      <c r="K29"/>
      <c r="L29"/>
      <c r="M29"/>
      <c r="N29"/>
      <c r="O29"/>
      <c r="P29"/>
    </row>
    <row r="30" spans="1:16" ht="14.4" x14ac:dyDescent="0.3">
      <c r="A30" s="66" t="s">
        <v>445</v>
      </c>
      <c r="C30" s="17"/>
      <c r="D30" s="17"/>
      <c r="E30" s="17">
        <v>8745709.2569000013</v>
      </c>
      <c r="F30" s="160"/>
      <c r="G30" s="160"/>
      <c r="H30" s="160"/>
      <c r="I30" s="17"/>
      <c r="J30" s="17">
        <v>8745709.2569000013</v>
      </c>
      <c r="K30"/>
      <c r="L30"/>
      <c r="M30"/>
      <c r="N30"/>
      <c r="O30"/>
      <c r="P30"/>
    </row>
    <row r="31" spans="1:16" ht="14.4" x14ac:dyDescent="0.3">
      <c r="A31" s="66" t="s">
        <v>230</v>
      </c>
      <c r="C31" s="17"/>
      <c r="D31" s="17"/>
      <c r="E31" s="17"/>
      <c r="F31" s="160">
        <v>340000</v>
      </c>
      <c r="G31" s="160"/>
      <c r="H31" s="160"/>
      <c r="I31" s="17"/>
      <c r="J31" s="17">
        <v>340000</v>
      </c>
      <c r="K31"/>
      <c r="L31"/>
      <c r="M31"/>
      <c r="N31"/>
      <c r="O31"/>
      <c r="P31"/>
    </row>
    <row r="32" spans="1:16" ht="14.4" x14ac:dyDescent="0.3">
      <c r="A32" s="66" t="s">
        <v>131</v>
      </c>
      <c r="C32" s="17"/>
      <c r="D32" s="17"/>
      <c r="E32" s="17"/>
      <c r="F32" s="160">
        <v>725755.58</v>
      </c>
      <c r="G32" s="160"/>
      <c r="H32" s="160"/>
      <c r="I32" s="17"/>
      <c r="J32" s="17">
        <v>725755.58</v>
      </c>
      <c r="K32"/>
      <c r="L32"/>
      <c r="M32"/>
      <c r="N32"/>
      <c r="O32"/>
      <c r="P32"/>
    </row>
    <row r="33" spans="1:16" ht="14.4" x14ac:dyDescent="0.3">
      <c r="A33" s="66" t="s">
        <v>315</v>
      </c>
      <c r="C33" s="17"/>
      <c r="D33" s="17">
        <v>1016847.56152</v>
      </c>
      <c r="E33" s="17">
        <v>63297.100510000004</v>
      </c>
      <c r="F33" s="160"/>
      <c r="G33" s="160"/>
      <c r="H33" s="160"/>
      <c r="I33" s="17"/>
      <c r="J33" s="17">
        <v>1080144.66203</v>
      </c>
      <c r="K33"/>
      <c r="L33"/>
      <c r="M33"/>
      <c r="N33"/>
      <c r="O33"/>
      <c r="P33"/>
    </row>
    <row r="34" spans="1:16" ht="14.4" x14ac:dyDescent="0.3">
      <c r="A34" s="66" t="s">
        <v>947</v>
      </c>
      <c r="C34" s="17"/>
      <c r="D34" s="17"/>
      <c r="E34" s="17"/>
      <c r="F34" s="160">
        <v>74704.81</v>
      </c>
      <c r="G34" s="160"/>
      <c r="H34" s="160"/>
      <c r="I34" s="17"/>
      <c r="J34" s="17">
        <v>74704.81</v>
      </c>
      <c r="K34"/>
      <c r="L34"/>
      <c r="M34"/>
      <c r="N34"/>
      <c r="O34"/>
      <c r="P34"/>
    </row>
    <row r="35" spans="1:16" ht="14.4" x14ac:dyDescent="0.3">
      <c r="A35" s="66" t="s">
        <v>952</v>
      </c>
      <c r="C35" s="17"/>
      <c r="D35" s="17">
        <v>889.7</v>
      </c>
      <c r="E35" s="17">
        <v>211.83757</v>
      </c>
      <c r="F35" s="160"/>
      <c r="G35" s="160"/>
      <c r="H35" s="160"/>
      <c r="I35" s="17"/>
      <c r="J35" s="17">
        <v>1101.53757</v>
      </c>
      <c r="K35"/>
      <c r="L35"/>
      <c r="M35"/>
      <c r="N35"/>
      <c r="O35"/>
      <c r="P35"/>
    </row>
    <row r="36" spans="1:16" ht="14.4" x14ac:dyDescent="0.3">
      <c r="A36" s="19" t="s">
        <v>236</v>
      </c>
      <c r="B36" s="17">
        <v>12000</v>
      </c>
      <c r="C36" s="17">
        <v>860793.04689999996</v>
      </c>
      <c r="D36" s="17">
        <v>1507253.3020199998</v>
      </c>
      <c r="E36" s="17">
        <v>26056170.417580001</v>
      </c>
      <c r="F36" s="160">
        <v>5292698.4788999995</v>
      </c>
      <c r="G36" s="160">
        <v>12000</v>
      </c>
      <c r="H36" s="160">
        <v>12000</v>
      </c>
      <c r="I36" s="17">
        <v>7008158.9581800001</v>
      </c>
      <c r="J36" s="17">
        <v>40761074.20358</v>
      </c>
      <c r="K36"/>
      <c r="L36"/>
      <c r="M36"/>
      <c r="N36"/>
      <c r="O36"/>
      <c r="P36"/>
    </row>
    <row r="37" spans="1:16" ht="14.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ht="14.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ht="14.4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ht="14.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ht="14.4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ht="14.4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ht="14.4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ht="14.4" x14ac:dyDescent="0.3">
      <c r="A44"/>
      <c r="B44"/>
      <c r="C44"/>
      <c r="D44"/>
      <c r="E44"/>
      <c r="F44" s="161"/>
      <c r="G44" s="161"/>
      <c r="H44" s="161"/>
      <c r="I44"/>
      <c r="J44"/>
      <c r="K44"/>
      <c r="L44"/>
      <c r="M44"/>
      <c r="N44"/>
      <c r="O44"/>
      <c r="P44"/>
    </row>
    <row r="45" spans="1:16" ht="14.4" x14ac:dyDescent="0.3">
      <c r="A45"/>
      <c r="B45"/>
      <c r="C45"/>
      <c r="D45"/>
      <c r="E45"/>
      <c r="F45" s="161"/>
      <c r="G45" s="161"/>
      <c r="H45" s="161"/>
      <c r="I45"/>
      <c r="J45"/>
      <c r="K45"/>
      <c r="L45"/>
      <c r="M45"/>
      <c r="N45"/>
      <c r="O45"/>
      <c r="P45"/>
    </row>
    <row r="46" spans="1:16" ht="14.4" x14ac:dyDescent="0.3">
      <c r="A46"/>
      <c r="B46"/>
      <c r="C46"/>
      <c r="D46"/>
      <c r="E46"/>
      <c r="F46" s="161"/>
      <c r="G46" s="161"/>
      <c r="H46" s="161"/>
      <c r="I46"/>
      <c r="J46"/>
      <c r="K46"/>
      <c r="L46"/>
      <c r="M46"/>
      <c r="N46"/>
      <c r="O46"/>
      <c r="P46"/>
    </row>
    <row r="47" spans="1:16" ht="14.4" x14ac:dyDescent="0.3">
      <c r="A47"/>
      <c r="B47"/>
      <c r="C47"/>
      <c r="D47"/>
      <c r="E47"/>
      <c r="F47" s="161"/>
      <c r="G47" s="161"/>
      <c r="H47" s="161"/>
      <c r="I47"/>
      <c r="J47"/>
      <c r="K47"/>
      <c r="L47"/>
      <c r="M47"/>
      <c r="N47"/>
      <c r="O47"/>
      <c r="P47"/>
    </row>
    <row r="48" spans="1:16" ht="14.4" x14ac:dyDescent="0.3">
      <c r="A48"/>
      <c r="B48"/>
      <c r="C48"/>
      <c r="D48"/>
      <c r="E48"/>
      <c r="F48" s="161"/>
      <c r="G48" s="161"/>
      <c r="H48" s="161"/>
      <c r="I48"/>
      <c r="J48"/>
      <c r="K48"/>
      <c r="L48"/>
      <c r="M48"/>
      <c r="N48"/>
      <c r="O48"/>
      <c r="P48"/>
    </row>
    <row r="49" spans="1:16" ht="14.4" x14ac:dyDescent="0.3">
      <c r="A49"/>
      <c r="B49"/>
      <c r="C49"/>
      <c r="D49"/>
      <c r="E49"/>
      <c r="F49" s="161"/>
      <c r="G49" s="161"/>
      <c r="H49" s="161"/>
      <c r="I49"/>
      <c r="J49"/>
      <c r="K49"/>
      <c r="L49"/>
      <c r="M49"/>
      <c r="N49"/>
      <c r="O49"/>
      <c r="P49"/>
    </row>
    <row r="50" spans="1:16" ht="14.4" x14ac:dyDescent="0.3">
      <c r="A50"/>
      <c r="B50"/>
      <c r="C50"/>
      <c r="D50"/>
      <c r="E50"/>
      <c r="F50" s="161"/>
      <c r="G50" s="161"/>
      <c r="H50" s="161"/>
      <c r="I50"/>
      <c r="J50"/>
      <c r="K50"/>
      <c r="L50"/>
      <c r="M50"/>
      <c r="N50"/>
      <c r="O50"/>
      <c r="P50"/>
    </row>
    <row r="51" spans="1:16" ht="14.4" x14ac:dyDescent="0.3">
      <c r="A51"/>
      <c r="B51"/>
      <c r="C51"/>
      <c r="D51"/>
      <c r="E51"/>
      <c r="F51" s="161"/>
      <c r="G51" s="161"/>
      <c r="H51" s="161"/>
      <c r="I51"/>
      <c r="J51"/>
      <c r="K51"/>
      <c r="L51"/>
      <c r="M51"/>
      <c r="N51"/>
      <c r="O51"/>
      <c r="P51"/>
    </row>
    <row r="52" spans="1:16" ht="14.4" x14ac:dyDescent="0.3">
      <c r="A52"/>
      <c r="B52"/>
      <c r="C52"/>
      <c r="D52"/>
      <c r="E52"/>
      <c r="F52" s="161"/>
      <c r="G52" s="161"/>
      <c r="H52" s="161"/>
      <c r="I52"/>
      <c r="J52"/>
      <c r="K52"/>
      <c r="L52"/>
      <c r="M52"/>
      <c r="N52"/>
      <c r="O52"/>
      <c r="P52"/>
    </row>
    <row r="53" spans="1:16" ht="14.4" x14ac:dyDescent="0.3">
      <c r="A53"/>
      <c r="B53"/>
      <c r="C53"/>
      <c r="D53"/>
      <c r="E53"/>
      <c r="F53" s="161"/>
      <c r="G53" s="161"/>
      <c r="H53" s="161"/>
      <c r="I53"/>
      <c r="J53"/>
      <c r="K53"/>
      <c r="L53"/>
      <c r="M53"/>
      <c r="N53"/>
      <c r="O53"/>
      <c r="P53"/>
    </row>
    <row r="54" spans="1:16" ht="14.4" x14ac:dyDescent="0.3">
      <c r="A54"/>
      <c r="B54"/>
      <c r="C54"/>
      <c r="D54"/>
      <c r="E54"/>
      <c r="F54" s="161"/>
      <c r="G54" s="161"/>
      <c r="H54" s="161"/>
      <c r="I54"/>
      <c r="J54"/>
      <c r="K54"/>
      <c r="L54"/>
      <c r="M54"/>
      <c r="N54"/>
      <c r="O54"/>
      <c r="P54"/>
    </row>
    <row r="55" spans="1:16" ht="14.4" x14ac:dyDescent="0.3">
      <c r="A55"/>
      <c r="B55"/>
      <c r="C55"/>
      <c r="D55"/>
      <c r="E55"/>
      <c r="F55" s="161"/>
      <c r="G55" s="161"/>
      <c r="H55" s="161"/>
      <c r="I55"/>
      <c r="J55"/>
      <c r="K55"/>
      <c r="L55"/>
      <c r="M55"/>
      <c r="N55"/>
      <c r="O55"/>
      <c r="P55"/>
    </row>
    <row r="56" spans="1:16" ht="14.4" x14ac:dyDescent="0.3">
      <c r="A56"/>
      <c r="B56"/>
      <c r="C56"/>
      <c r="D56"/>
      <c r="E56"/>
      <c r="F56" s="161"/>
      <c r="G56" s="161"/>
      <c r="H56" s="161"/>
      <c r="I56"/>
      <c r="J56"/>
      <c r="K56"/>
      <c r="L56"/>
      <c r="M56"/>
      <c r="N56"/>
      <c r="O56"/>
      <c r="P56"/>
    </row>
    <row r="57" spans="1:16" ht="14.4" x14ac:dyDescent="0.3">
      <c r="A57"/>
      <c r="B57"/>
      <c r="C57"/>
      <c r="D57"/>
      <c r="E57"/>
      <c r="F57" s="161"/>
      <c r="G57" s="161"/>
      <c r="H57" s="161"/>
      <c r="I57"/>
      <c r="J57"/>
      <c r="K57"/>
      <c r="L57"/>
      <c r="M57"/>
      <c r="N57"/>
      <c r="O57"/>
      <c r="P57"/>
    </row>
    <row r="58" spans="1:16" ht="14.4" x14ac:dyDescent="0.3">
      <c r="A58"/>
      <c r="B58"/>
      <c r="C58"/>
      <c r="D58"/>
      <c r="E58"/>
      <c r="F58" s="161"/>
      <c r="G58" s="161"/>
      <c r="H58" s="161"/>
      <c r="I58"/>
      <c r="J58"/>
      <c r="K58"/>
      <c r="L58"/>
      <c r="M58"/>
      <c r="N58"/>
      <c r="O58"/>
      <c r="P58"/>
    </row>
    <row r="59" spans="1:16" ht="14.4" x14ac:dyDescent="0.3">
      <c r="A59"/>
      <c r="B59"/>
      <c r="C59"/>
      <c r="D59"/>
      <c r="E59"/>
      <c r="F59" s="161"/>
      <c r="G59" s="161"/>
      <c r="H59" s="161"/>
      <c r="I59"/>
      <c r="J59"/>
      <c r="K59"/>
      <c r="L59"/>
      <c r="M59"/>
      <c r="N59"/>
      <c r="O59"/>
      <c r="P59"/>
    </row>
    <row r="60" spans="1:16" ht="14.4" x14ac:dyDescent="0.3">
      <c r="A60"/>
      <c r="B60"/>
      <c r="C60"/>
      <c r="D60"/>
      <c r="E60"/>
      <c r="F60" s="161"/>
      <c r="G60" s="161"/>
      <c r="H60" s="161"/>
      <c r="I60"/>
      <c r="J60"/>
      <c r="K60"/>
      <c r="L60"/>
      <c r="M60"/>
      <c r="N60"/>
      <c r="O60"/>
      <c r="P60"/>
    </row>
    <row r="61" spans="1:16" ht="14.4" x14ac:dyDescent="0.3">
      <c r="A61"/>
      <c r="B61"/>
      <c r="C61"/>
      <c r="D61"/>
      <c r="E61"/>
      <c r="F61" s="161"/>
      <c r="G61" s="161"/>
      <c r="H61" s="161"/>
      <c r="I61"/>
      <c r="J61"/>
      <c r="K61"/>
      <c r="L61"/>
      <c r="M61"/>
      <c r="N61"/>
      <c r="O61"/>
      <c r="P61"/>
    </row>
    <row r="62" spans="1:16" ht="14.4" x14ac:dyDescent="0.3">
      <c r="A62"/>
      <c r="B62"/>
      <c r="C62"/>
      <c r="D62"/>
      <c r="E62"/>
      <c r="F62" s="161"/>
      <c r="G62" s="161"/>
      <c r="H62" s="161"/>
      <c r="I62"/>
      <c r="J62"/>
      <c r="K62"/>
      <c r="L62"/>
      <c r="M62"/>
      <c r="N62"/>
      <c r="O62"/>
      <c r="P62"/>
    </row>
    <row r="63" spans="1:16" ht="14.4" x14ac:dyDescent="0.3">
      <c r="A63"/>
      <c r="B63"/>
      <c r="C63"/>
      <c r="D63"/>
      <c r="E63"/>
      <c r="F63" s="161"/>
      <c r="G63" s="161"/>
      <c r="H63" s="161"/>
      <c r="I63"/>
      <c r="J63"/>
      <c r="K63"/>
      <c r="L63"/>
      <c r="M63"/>
      <c r="N63"/>
      <c r="O63"/>
      <c r="P63"/>
    </row>
    <row r="64" spans="1:16" ht="14.4" x14ac:dyDescent="0.3">
      <c r="A64"/>
      <c r="B64"/>
      <c r="C64"/>
      <c r="D64"/>
      <c r="E64"/>
      <c r="F64" s="161"/>
      <c r="G64" s="161"/>
      <c r="H64" s="161"/>
      <c r="I64"/>
      <c r="J64"/>
      <c r="K64"/>
      <c r="L64"/>
      <c r="M64"/>
      <c r="N64"/>
      <c r="O64"/>
      <c r="P64"/>
    </row>
    <row r="65" spans="1:16" ht="14.4" x14ac:dyDescent="0.3">
      <c r="A65"/>
      <c r="B65"/>
      <c r="C65"/>
      <c r="D65"/>
      <c r="E65"/>
      <c r="F65" s="161"/>
      <c r="G65" s="161"/>
      <c r="H65" s="161"/>
      <c r="I65"/>
      <c r="J65"/>
      <c r="K65"/>
      <c r="L65"/>
      <c r="M65"/>
      <c r="N65"/>
      <c r="O65"/>
      <c r="P65"/>
    </row>
    <row r="66" spans="1:16" ht="14.4" x14ac:dyDescent="0.3">
      <c r="A66"/>
      <c r="B66"/>
      <c r="C66"/>
      <c r="D66"/>
      <c r="E66"/>
      <c r="F66" s="161"/>
      <c r="G66" s="161"/>
      <c r="H66" s="161"/>
      <c r="I66"/>
      <c r="J66"/>
      <c r="K66"/>
      <c r="L66"/>
      <c r="M66"/>
      <c r="N66"/>
      <c r="O66"/>
      <c r="P66"/>
    </row>
    <row r="67" spans="1:16" ht="14.4" x14ac:dyDescent="0.3">
      <c r="A67"/>
      <c r="B67"/>
      <c r="C67"/>
      <c r="D67"/>
      <c r="E67"/>
      <c r="F67" s="161"/>
      <c r="G67" s="161"/>
      <c r="H67" s="161"/>
      <c r="I67"/>
      <c r="J67"/>
      <c r="K67"/>
      <c r="L67"/>
      <c r="M67"/>
      <c r="N67"/>
      <c r="O67"/>
      <c r="P67"/>
    </row>
    <row r="68" spans="1:16" ht="14.4" x14ac:dyDescent="0.3">
      <c r="A68"/>
      <c r="B68"/>
      <c r="C68"/>
      <c r="D68"/>
      <c r="E68"/>
      <c r="F68" s="161"/>
      <c r="G68" s="161"/>
      <c r="H68" s="161"/>
      <c r="I68"/>
      <c r="J68"/>
      <c r="K68"/>
      <c r="L68"/>
      <c r="M68"/>
      <c r="N68"/>
      <c r="O68"/>
      <c r="P68"/>
    </row>
    <row r="69" spans="1:16" ht="14.4" x14ac:dyDescent="0.3">
      <c r="A69"/>
      <c r="B69"/>
      <c r="C69"/>
      <c r="D69"/>
      <c r="E69"/>
      <c r="F69" s="161"/>
      <c r="G69" s="161"/>
      <c r="H69" s="161"/>
      <c r="I69"/>
      <c r="J69"/>
      <c r="K69"/>
      <c r="L69"/>
      <c r="M69"/>
      <c r="N69"/>
      <c r="O69"/>
      <c r="P69"/>
    </row>
    <row r="70" spans="1:16" ht="14.4" x14ac:dyDescent="0.3">
      <c r="A70"/>
      <c r="B70"/>
      <c r="C70"/>
      <c r="D70"/>
      <c r="E70"/>
      <c r="F70" s="161"/>
      <c r="G70" s="161"/>
      <c r="H70" s="161"/>
      <c r="I70"/>
      <c r="J70"/>
      <c r="K70"/>
      <c r="L70"/>
      <c r="M70"/>
      <c r="N70"/>
      <c r="O70"/>
      <c r="P70"/>
    </row>
    <row r="71" spans="1:16" ht="14.4" x14ac:dyDescent="0.3">
      <c r="A71"/>
      <c r="B71"/>
      <c r="C71"/>
      <c r="D71"/>
      <c r="E71"/>
      <c r="F71" s="161"/>
      <c r="G71" s="161"/>
      <c r="H71" s="161"/>
      <c r="I71"/>
      <c r="J71"/>
      <c r="K71"/>
      <c r="L71"/>
      <c r="M71"/>
      <c r="N71"/>
      <c r="O71"/>
      <c r="P71"/>
    </row>
    <row r="72" spans="1:16" ht="14.4" x14ac:dyDescent="0.3">
      <c r="A72"/>
      <c r="B72"/>
      <c r="C72"/>
      <c r="D72"/>
      <c r="E72"/>
      <c r="F72" s="161"/>
      <c r="G72" s="161"/>
      <c r="H72" s="161"/>
      <c r="I72"/>
      <c r="J72"/>
      <c r="K72"/>
      <c r="L72"/>
      <c r="M72"/>
      <c r="N72"/>
      <c r="O72"/>
      <c r="P72"/>
    </row>
    <row r="73" spans="1:16" ht="14.4" x14ac:dyDescent="0.3">
      <c r="A73"/>
      <c r="B73"/>
      <c r="C73"/>
      <c r="D73"/>
      <c r="E73"/>
      <c r="F73" s="161"/>
      <c r="G73" s="161"/>
      <c r="H73" s="161"/>
      <c r="I73"/>
      <c r="J73"/>
      <c r="K73"/>
      <c r="L73"/>
      <c r="M73"/>
      <c r="N73"/>
      <c r="O73"/>
      <c r="P73"/>
    </row>
    <row r="74" spans="1:16" ht="14.4" x14ac:dyDescent="0.3">
      <c r="A74"/>
      <c r="B74"/>
      <c r="C74"/>
      <c r="D74"/>
      <c r="E74"/>
      <c r="F74" s="161"/>
      <c r="G74" s="161"/>
      <c r="H74" s="161"/>
      <c r="I74"/>
      <c r="J74"/>
      <c r="K74"/>
      <c r="L74"/>
      <c r="M74"/>
      <c r="N74"/>
      <c r="O74"/>
      <c r="P74"/>
    </row>
    <row r="75" spans="1:16" ht="14.4" x14ac:dyDescent="0.3">
      <c r="A75"/>
      <c r="B75"/>
      <c r="C75"/>
      <c r="D75"/>
      <c r="E75"/>
      <c r="F75" s="161"/>
      <c r="G75" s="161"/>
      <c r="H75" s="161"/>
      <c r="I75"/>
      <c r="J75"/>
      <c r="K75"/>
      <c r="L75"/>
      <c r="M75"/>
      <c r="N75"/>
      <c r="O75"/>
      <c r="P75"/>
    </row>
    <row r="76" spans="1:16" ht="14.4" x14ac:dyDescent="0.3">
      <c r="A76"/>
      <c r="B76"/>
      <c r="C76"/>
      <c r="D76"/>
      <c r="E76"/>
      <c r="F76" s="161"/>
      <c r="G76" s="161"/>
      <c r="H76" s="161"/>
      <c r="I76"/>
      <c r="J76"/>
      <c r="K76"/>
      <c r="L76"/>
      <c r="M76"/>
      <c r="N76"/>
      <c r="O76"/>
      <c r="P76"/>
    </row>
    <row r="77" spans="1:16" ht="14.4" x14ac:dyDescent="0.3">
      <c r="A77"/>
      <c r="B77"/>
      <c r="C77"/>
      <c r="D77"/>
      <c r="E77"/>
      <c r="F77" s="161"/>
      <c r="G77" s="161"/>
      <c r="H77" s="161"/>
      <c r="I77"/>
      <c r="J77"/>
      <c r="K77"/>
      <c r="L77"/>
      <c r="M77"/>
      <c r="N77"/>
      <c r="O77"/>
      <c r="P77"/>
    </row>
    <row r="78" spans="1:16" ht="14.4" x14ac:dyDescent="0.3">
      <c r="A78"/>
      <c r="B78"/>
      <c r="C78"/>
      <c r="D78"/>
      <c r="E78"/>
      <c r="F78" s="161"/>
      <c r="G78" s="161"/>
      <c r="H78" s="161"/>
      <c r="I78"/>
      <c r="J78"/>
      <c r="K78"/>
      <c r="L78"/>
      <c r="M78"/>
      <c r="N78"/>
      <c r="O78"/>
      <c r="P78"/>
    </row>
    <row r="79" spans="1:16" ht="14.4" x14ac:dyDescent="0.3">
      <c r="A79"/>
      <c r="B79"/>
      <c r="C79"/>
      <c r="D79"/>
      <c r="E79"/>
      <c r="F79" s="161"/>
      <c r="G79" s="161"/>
      <c r="H79" s="161"/>
      <c r="I79"/>
      <c r="J79"/>
      <c r="K79"/>
      <c r="L79"/>
      <c r="M79"/>
      <c r="N79"/>
      <c r="O79"/>
      <c r="P79"/>
    </row>
    <row r="80" spans="1:16" ht="14.4" x14ac:dyDescent="0.3">
      <c r="A80"/>
      <c r="B80"/>
      <c r="C80"/>
      <c r="D80"/>
      <c r="E80"/>
      <c r="F80" s="161"/>
      <c r="G80" s="161"/>
      <c r="H80" s="161"/>
      <c r="I80"/>
      <c r="J80"/>
      <c r="K80"/>
      <c r="L80"/>
      <c r="M80"/>
      <c r="N80"/>
      <c r="O80"/>
      <c r="P80"/>
    </row>
    <row r="81" spans="1:16" ht="14.4" x14ac:dyDescent="0.3">
      <c r="A81"/>
      <c r="B81"/>
      <c r="C81"/>
      <c r="D81"/>
      <c r="E81"/>
      <c r="F81" s="161"/>
      <c r="G81" s="161"/>
      <c r="H81" s="161"/>
      <c r="I81"/>
      <c r="J81"/>
      <c r="K81"/>
      <c r="L81"/>
      <c r="M81"/>
      <c r="N81"/>
      <c r="O81"/>
      <c r="P81"/>
    </row>
    <row r="82" spans="1:16" ht="14.4" x14ac:dyDescent="0.3">
      <c r="A82"/>
      <c r="B82"/>
      <c r="C82"/>
      <c r="D82"/>
      <c r="E82"/>
      <c r="F82" s="161"/>
      <c r="G82" s="161"/>
      <c r="H82" s="161"/>
      <c r="I82"/>
      <c r="J82"/>
      <c r="K82"/>
      <c r="L82"/>
      <c r="M82"/>
      <c r="N82"/>
      <c r="O82"/>
      <c r="P82"/>
    </row>
    <row r="83" spans="1:16" ht="14.4" x14ac:dyDescent="0.3">
      <c r="A83"/>
      <c r="B83"/>
      <c r="C83"/>
      <c r="D83"/>
      <c r="E83"/>
      <c r="F83" s="161"/>
      <c r="G83" s="161"/>
      <c r="H83" s="161"/>
      <c r="I83"/>
      <c r="J83"/>
      <c r="K83"/>
      <c r="L83"/>
      <c r="M83"/>
      <c r="N83"/>
      <c r="O83"/>
      <c r="P83"/>
    </row>
    <row r="84" spans="1:16" ht="14.4" x14ac:dyDescent="0.3">
      <c r="A84"/>
      <c r="B84"/>
      <c r="C84"/>
      <c r="D84"/>
      <c r="E84"/>
      <c r="F84" s="161"/>
      <c r="G84" s="161"/>
      <c r="H84" s="161"/>
      <c r="I84"/>
      <c r="J84"/>
      <c r="K84"/>
      <c r="L84"/>
      <c r="M84"/>
      <c r="N84"/>
      <c r="O84"/>
      <c r="P84"/>
    </row>
    <row r="85" spans="1:16" ht="14.4" x14ac:dyDescent="0.3">
      <c r="A85"/>
      <c r="B85"/>
      <c r="C85"/>
      <c r="D85"/>
      <c r="E85"/>
      <c r="F85" s="161"/>
      <c r="G85" s="161"/>
      <c r="H85" s="161"/>
      <c r="I85"/>
      <c r="J85"/>
      <c r="K85"/>
      <c r="L85"/>
      <c r="M85"/>
      <c r="N85"/>
      <c r="O85"/>
      <c r="P85"/>
    </row>
    <row r="86" spans="1:16" ht="14.4" x14ac:dyDescent="0.3">
      <c r="A86"/>
      <c r="B86"/>
      <c r="C86"/>
      <c r="D86"/>
      <c r="E86"/>
      <c r="F86" s="161"/>
      <c r="G86" s="161"/>
      <c r="H86" s="161"/>
      <c r="I86"/>
      <c r="J86"/>
      <c r="K86"/>
      <c r="L86"/>
      <c r="M86"/>
      <c r="N86"/>
      <c r="O86"/>
      <c r="P86"/>
    </row>
    <row r="87" spans="1:16" ht="14.4" x14ac:dyDescent="0.3">
      <c r="A87"/>
      <c r="B87"/>
      <c r="C87"/>
      <c r="D87"/>
      <c r="E87"/>
      <c r="F87" s="161"/>
      <c r="G87" s="161"/>
      <c r="H87" s="161"/>
      <c r="I87"/>
      <c r="J87"/>
      <c r="K87"/>
      <c r="L87"/>
      <c r="M87"/>
      <c r="N87"/>
      <c r="O87"/>
      <c r="P87"/>
    </row>
    <row r="88" spans="1:16" ht="14.4" x14ac:dyDescent="0.3">
      <c r="A88"/>
      <c r="B88"/>
      <c r="C88"/>
      <c r="D88"/>
      <c r="E88"/>
      <c r="F88" s="161"/>
      <c r="G88" s="161"/>
      <c r="H88" s="161"/>
      <c r="I88"/>
      <c r="J88"/>
      <c r="K88"/>
      <c r="L88"/>
      <c r="M88"/>
      <c r="N88"/>
      <c r="O88"/>
      <c r="P88"/>
    </row>
    <row r="89" spans="1:16" ht="14.4" x14ac:dyDescent="0.3">
      <c r="A89"/>
      <c r="B89"/>
      <c r="C89"/>
      <c r="D89"/>
      <c r="E89"/>
      <c r="F89" s="161"/>
      <c r="G89" s="161"/>
      <c r="H89" s="161"/>
      <c r="I89"/>
      <c r="J89"/>
      <c r="K89"/>
      <c r="L89"/>
      <c r="M89"/>
      <c r="N89"/>
      <c r="O89"/>
      <c r="P89"/>
    </row>
    <row r="90" spans="1:16" ht="14.4" x14ac:dyDescent="0.3">
      <c r="A90"/>
      <c r="B90"/>
      <c r="C90"/>
      <c r="D90"/>
      <c r="E90"/>
      <c r="F90" s="161"/>
      <c r="G90" s="161"/>
      <c r="H90" s="161"/>
      <c r="I90"/>
      <c r="J90"/>
      <c r="K90"/>
      <c r="L90"/>
      <c r="M90"/>
      <c r="N90"/>
      <c r="O90"/>
      <c r="P90"/>
    </row>
    <row r="91" spans="1:16" ht="14.4" x14ac:dyDescent="0.3">
      <c r="A91"/>
      <c r="B91"/>
      <c r="C91"/>
      <c r="D91"/>
      <c r="E91"/>
      <c r="F91" s="161"/>
      <c r="G91" s="161"/>
      <c r="H91" s="161"/>
      <c r="I91"/>
      <c r="J91"/>
      <c r="K91"/>
      <c r="L91"/>
      <c r="M91"/>
      <c r="N91"/>
      <c r="O91"/>
      <c r="P91"/>
    </row>
    <row r="92" spans="1:16" ht="14.4" x14ac:dyDescent="0.3">
      <c r="A92"/>
      <c r="B92"/>
      <c r="C92"/>
      <c r="D92"/>
      <c r="E92"/>
      <c r="F92" s="161"/>
      <c r="G92" s="161"/>
      <c r="H92" s="161"/>
      <c r="I92"/>
      <c r="J92"/>
      <c r="K92"/>
      <c r="L92"/>
      <c r="M92"/>
      <c r="N92"/>
      <c r="O92"/>
      <c r="P92"/>
    </row>
    <row r="93" spans="1:16" ht="14.4" x14ac:dyDescent="0.3">
      <c r="A93"/>
      <c r="B93"/>
      <c r="C93"/>
      <c r="D93"/>
      <c r="E93"/>
      <c r="F93" s="161"/>
      <c r="G93" s="161"/>
      <c r="H93" s="161"/>
      <c r="I93"/>
      <c r="J93"/>
      <c r="K93"/>
      <c r="L93"/>
      <c r="M93"/>
      <c r="N93"/>
      <c r="O93"/>
      <c r="P93"/>
    </row>
    <row r="94" spans="1:16" ht="14.4" x14ac:dyDescent="0.3">
      <c r="A94"/>
      <c r="B94"/>
      <c r="C94"/>
      <c r="D94"/>
      <c r="E94"/>
      <c r="F94" s="161"/>
      <c r="G94" s="161"/>
      <c r="H94" s="161"/>
      <c r="I94"/>
      <c r="J94"/>
      <c r="K94"/>
      <c r="L94"/>
      <c r="M94"/>
      <c r="N94"/>
      <c r="O94"/>
      <c r="P94"/>
    </row>
    <row r="95" spans="1:16" ht="14.4" x14ac:dyDescent="0.3">
      <c r="A95"/>
      <c r="B95"/>
      <c r="C95"/>
      <c r="D95"/>
      <c r="E95"/>
      <c r="F95" s="161"/>
      <c r="G95" s="161"/>
      <c r="H95" s="161"/>
      <c r="I95"/>
      <c r="J95"/>
      <c r="K95"/>
      <c r="L95"/>
      <c r="M95"/>
      <c r="N95"/>
      <c r="O95"/>
      <c r="P95"/>
    </row>
    <row r="96" spans="1:16" ht="14.4" x14ac:dyDescent="0.3">
      <c r="A96"/>
      <c r="B96"/>
      <c r="C96"/>
      <c r="D96"/>
      <c r="E96"/>
      <c r="F96" s="161"/>
      <c r="G96" s="161"/>
      <c r="H96" s="161"/>
      <c r="I96"/>
      <c r="J96"/>
      <c r="K96"/>
      <c r="L96"/>
      <c r="M96"/>
      <c r="N96"/>
      <c r="O96"/>
      <c r="P96"/>
    </row>
    <row r="97" spans="1:16" ht="14.4" x14ac:dyDescent="0.3">
      <c r="A97"/>
      <c r="B97"/>
      <c r="C97"/>
      <c r="D97"/>
      <c r="E97"/>
      <c r="F97" s="161"/>
      <c r="G97" s="161"/>
      <c r="H97" s="161"/>
      <c r="I97"/>
      <c r="J97"/>
      <c r="K97"/>
      <c r="L97"/>
      <c r="M97"/>
      <c r="N97"/>
      <c r="O97"/>
      <c r="P97"/>
    </row>
    <row r="98" spans="1:16" ht="14.4" x14ac:dyDescent="0.3">
      <c r="A98"/>
      <c r="B98"/>
      <c r="C98"/>
      <c r="D98"/>
      <c r="E98"/>
      <c r="F98" s="161"/>
      <c r="G98" s="161"/>
      <c r="H98" s="161"/>
      <c r="I98"/>
      <c r="J98"/>
      <c r="K98"/>
      <c r="L98"/>
      <c r="M98"/>
      <c r="N98"/>
      <c r="O98"/>
      <c r="P98"/>
    </row>
    <row r="99" spans="1:16" ht="14.4" x14ac:dyDescent="0.3">
      <c r="A99"/>
      <c r="B99"/>
      <c r="C99"/>
      <c r="D99"/>
      <c r="E99"/>
      <c r="F99" s="161"/>
      <c r="G99" s="161"/>
      <c r="H99" s="161"/>
      <c r="I99"/>
      <c r="J99"/>
      <c r="K99"/>
      <c r="L99"/>
      <c r="M99"/>
      <c r="N99"/>
      <c r="O99"/>
      <c r="P99"/>
    </row>
    <row r="100" spans="1:16" ht="14.4" x14ac:dyDescent="0.3">
      <c r="A100"/>
      <c r="B100"/>
      <c r="C100"/>
      <c r="D100"/>
      <c r="E100"/>
      <c r="F100" s="161"/>
      <c r="G100" s="161"/>
      <c r="H100" s="161"/>
      <c r="I100"/>
      <c r="J100"/>
      <c r="K100"/>
      <c r="L100"/>
      <c r="M100"/>
      <c r="N100"/>
      <c r="O100"/>
      <c r="P100"/>
    </row>
    <row r="101" spans="1:16" ht="14.4" x14ac:dyDescent="0.3">
      <c r="A101"/>
      <c r="B101"/>
      <c r="C101"/>
      <c r="D101"/>
      <c r="E101"/>
      <c r="F101" s="161"/>
      <c r="G101" s="161"/>
      <c r="H101" s="161"/>
      <c r="I101"/>
      <c r="J101"/>
      <c r="K101"/>
      <c r="L101"/>
      <c r="M101"/>
      <c r="N101"/>
      <c r="O101"/>
      <c r="P101"/>
    </row>
    <row r="102" spans="1:16" ht="14.4" x14ac:dyDescent="0.3">
      <c r="A102"/>
      <c r="B102"/>
      <c r="C102"/>
      <c r="D102"/>
      <c r="E102"/>
      <c r="F102" s="161"/>
      <c r="G102" s="161"/>
      <c r="H102" s="161"/>
      <c r="I102"/>
      <c r="J102"/>
      <c r="K102"/>
      <c r="L102"/>
      <c r="M102"/>
      <c r="N102"/>
      <c r="O102"/>
      <c r="P102"/>
    </row>
    <row r="103" spans="1:16" ht="14.4" x14ac:dyDescent="0.3">
      <c r="A103"/>
      <c r="B103"/>
      <c r="C103"/>
      <c r="D103"/>
      <c r="E103"/>
      <c r="F103" s="161"/>
      <c r="G103" s="161"/>
      <c r="H103" s="161"/>
      <c r="I103"/>
      <c r="J103"/>
      <c r="K103"/>
      <c r="L103"/>
      <c r="M103"/>
      <c r="N103"/>
      <c r="O103"/>
      <c r="P103"/>
    </row>
    <row r="104" spans="1:16" ht="14.4" x14ac:dyDescent="0.3">
      <c r="A104"/>
      <c r="B104"/>
      <c r="C104"/>
      <c r="D104"/>
      <c r="E104"/>
      <c r="F104" s="161"/>
      <c r="G104" s="161"/>
      <c r="H104" s="161"/>
      <c r="I104"/>
      <c r="J104"/>
      <c r="K104"/>
      <c r="L104"/>
      <c r="M104"/>
      <c r="N104"/>
      <c r="O104"/>
      <c r="P104"/>
    </row>
    <row r="105" spans="1:16" ht="14.4" x14ac:dyDescent="0.3">
      <c r="A105"/>
      <c r="B105"/>
      <c r="C105"/>
      <c r="D105"/>
      <c r="E105"/>
      <c r="F105" s="161"/>
      <c r="G105" s="161"/>
      <c r="H105" s="161"/>
      <c r="I105"/>
      <c r="J105"/>
      <c r="K105"/>
      <c r="L105"/>
      <c r="M105"/>
      <c r="N105"/>
      <c r="O105"/>
      <c r="P105"/>
    </row>
    <row r="106" spans="1:16" ht="14.4" x14ac:dyDescent="0.3">
      <c r="A106"/>
      <c r="B106"/>
      <c r="C106"/>
      <c r="D106"/>
      <c r="E106"/>
      <c r="F106" s="161"/>
      <c r="G106" s="161"/>
      <c r="H106" s="161"/>
      <c r="I106"/>
      <c r="J106"/>
      <c r="K106"/>
      <c r="L106"/>
      <c r="M106"/>
      <c r="N106"/>
      <c r="O106"/>
      <c r="P106"/>
    </row>
    <row r="107" spans="1:16" ht="14.4" x14ac:dyDescent="0.3">
      <c r="A107"/>
      <c r="B107"/>
      <c r="C107"/>
      <c r="D107"/>
      <c r="E107"/>
      <c r="F107" s="161"/>
      <c r="G107" s="161"/>
      <c r="H107" s="161"/>
      <c r="I107"/>
      <c r="J107"/>
      <c r="K107"/>
      <c r="L107"/>
      <c r="M107"/>
      <c r="N107"/>
      <c r="O107"/>
      <c r="P107"/>
    </row>
    <row r="108" spans="1:16" ht="14.4" x14ac:dyDescent="0.3">
      <c r="A108"/>
      <c r="B108"/>
      <c r="C108"/>
      <c r="D108"/>
      <c r="E108"/>
      <c r="F108" s="161"/>
      <c r="G108" s="161"/>
      <c r="H108" s="161"/>
      <c r="I108"/>
      <c r="J108"/>
      <c r="K108"/>
      <c r="L108"/>
      <c r="M108"/>
      <c r="N108"/>
      <c r="O108"/>
      <c r="P108"/>
    </row>
    <row r="109" spans="1:16" ht="14.4" x14ac:dyDescent="0.3">
      <c r="A109"/>
      <c r="B109"/>
      <c r="C109"/>
      <c r="D109"/>
      <c r="E109"/>
      <c r="F109" s="161"/>
      <c r="G109" s="161"/>
      <c r="H109" s="161"/>
      <c r="I109"/>
      <c r="J109"/>
      <c r="K109"/>
      <c r="L109"/>
      <c r="M109"/>
      <c r="N109"/>
      <c r="O109"/>
      <c r="P109"/>
    </row>
    <row r="110" spans="1:16" ht="14.4" x14ac:dyDescent="0.3">
      <c r="A110"/>
      <c r="B110"/>
      <c r="C110"/>
      <c r="D110"/>
      <c r="E110"/>
      <c r="F110" s="161"/>
      <c r="G110" s="161"/>
      <c r="H110" s="161"/>
      <c r="I110"/>
      <c r="J110"/>
      <c r="K110"/>
      <c r="L110"/>
      <c r="M110"/>
      <c r="N110"/>
      <c r="O110"/>
      <c r="P110"/>
    </row>
    <row r="111" spans="1:16" ht="14.4" x14ac:dyDescent="0.3">
      <c r="A111"/>
      <c r="B111"/>
      <c r="C111"/>
      <c r="D111"/>
      <c r="E111"/>
      <c r="F111" s="161"/>
      <c r="G111" s="161"/>
      <c r="H111" s="161"/>
      <c r="I111"/>
      <c r="J111"/>
      <c r="K111"/>
      <c r="L111"/>
      <c r="M111"/>
      <c r="N111"/>
      <c r="O111"/>
      <c r="P111"/>
    </row>
    <row r="112" spans="1:16" ht="14.4" x14ac:dyDescent="0.3">
      <c r="A112"/>
      <c r="B112"/>
      <c r="C112"/>
      <c r="D112"/>
      <c r="E112"/>
      <c r="F112" s="161"/>
      <c r="G112" s="161"/>
      <c r="H112" s="161"/>
      <c r="I112"/>
      <c r="J112"/>
      <c r="K112"/>
      <c r="L112"/>
      <c r="M112"/>
      <c r="N112"/>
      <c r="O112"/>
      <c r="P112"/>
    </row>
    <row r="113" spans="1:16" ht="14.4" x14ac:dyDescent="0.3">
      <c r="A113"/>
      <c r="B113"/>
      <c r="C113"/>
      <c r="D113"/>
      <c r="E113"/>
      <c r="F113" s="161"/>
      <c r="G113" s="161"/>
      <c r="H113" s="161"/>
      <c r="I113"/>
      <c r="J113"/>
      <c r="K113"/>
      <c r="L113"/>
      <c r="M113"/>
      <c r="N113"/>
      <c r="O113"/>
      <c r="P113"/>
    </row>
    <row r="114" spans="1:16" ht="14.4" x14ac:dyDescent="0.3">
      <c r="A114"/>
      <c r="B114"/>
      <c r="C114"/>
      <c r="D114"/>
      <c r="E114"/>
      <c r="F114" s="161"/>
      <c r="G114" s="161"/>
      <c r="H114" s="161"/>
      <c r="I114"/>
      <c r="J114"/>
      <c r="K114"/>
      <c r="L114"/>
      <c r="M114"/>
      <c r="N114"/>
      <c r="O114"/>
      <c r="P114"/>
    </row>
    <row r="115" spans="1:16" ht="14.4" x14ac:dyDescent="0.3">
      <c r="A115"/>
      <c r="B115"/>
      <c r="C115"/>
      <c r="D115"/>
      <c r="E115"/>
      <c r="F115" s="161"/>
      <c r="G115" s="161"/>
      <c r="H115" s="161"/>
      <c r="I115"/>
      <c r="J115"/>
      <c r="K115"/>
      <c r="L115"/>
      <c r="M115"/>
      <c r="N115"/>
      <c r="O115"/>
      <c r="P115"/>
    </row>
    <row r="116" spans="1:16" ht="14.4" x14ac:dyDescent="0.3">
      <c r="A116"/>
      <c r="B116"/>
      <c r="C116"/>
      <c r="D116"/>
      <c r="E116"/>
      <c r="F116" s="161"/>
      <c r="G116" s="161"/>
      <c r="H116" s="161"/>
      <c r="I116"/>
      <c r="J116"/>
      <c r="K116"/>
      <c r="L116"/>
      <c r="M116"/>
      <c r="N116"/>
      <c r="O116"/>
      <c r="P116"/>
    </row>
    <row r="117" spans="1:16" ht="14.4" x14ac:dyDescent="0.3">
      <c r="A117"/>
      <c r="B117"/>
      <c r="C117"/>
      <c r="D117"/>
      <c r="E117"/>
      <c r="F117" s="161"/>
      <c r="G117" s="161"/>
      <c r="H117" s="161"/>
      <c r="I117"/>
      <c r="J117"/>
      <c r="K117"/>
      <c r="L117"/>
      <c r="M117"/>
      <c r="N117"/>
      <c r="O117"/>
      <c r="P117"/>
    </row>
    <row r="118" spans="1:16" ht="14.4" x14ac:dyDescent="0.3">
      <c r="A118"/>
      <c r="B118"/>
      <c r="C118"/>
      <c r="D118"/>
      <c r="E118"/>
      <c r="F118" s="161"/>
      <c r="G118" s="161"/>
      <c r="H118" s="161"/>
      <c r="I118"/>
      <c r="J118"/>
      <c r="K118"/>
      <c r="L118"/>
      <c r="M118"/>
      <c r="N118"/>
      <c r="O118"/>
      <c r="P118"/>
    </row>
    <row r="119" spans="1:16" ht="14.4" x14ac:dyDescent="0.3">
      <c r="A119"/>
      <c r="B119"/>
      <c r="C119"/>
      <c r="D119"/>
      <c r="E119"/>
      <c r="F119" s="161"/>
      <c r="G119" s="161"/>
      <c r="H119" s="161"/>
      <c r="I119"/>
      <c r="J119"/>
      <c r="K119"/>
      <c r="L119"/>
      <c r="M119"/>
      <c r="N119"/>
      <c r="O119"/>
      <c r="P119"/>
    </row>
    <row r="120" spans="1:16" ht="14.4" x14ac:dyDescent="0.3">
      <c r="A120"/>
      <c r="B120"/>
      <c r="C120"/>
      <c r="D120"/>
      <c r="E120"/>
      <c r="F120" s="161"/>
      <c r="G120" s="161"/>
      <c r="H120" s="161"/>
      <c r="I120"/>
      <c r="J120"/>
      <c r="K120"/>
      <c r="L120"/>
      <c r="M120"/>
      <c r="N120"/>
      <c r="O120"/>
      <c r="P120"/>
    </row>
    <row r="121" spans="1:16" ht="14.4" x14ac:dyDescent="0.3">
      <c r="A121"/>
      <c r="B121"/>
      <c r="C121"/>
      <c r="D121"/>
      <c r="E121"/>
      <c r="F121" s="161"/>
      <c r="G121" s="161"/>
      <c r="H121" s="161"/>
      <c r="I121"/>
      <c r="J121"/>
      <c r="K121"/>
      <c r="L121"/>
      <c r="M121"/>
      <c r="N121"/>
      <c r="O121"/>
      <c r="P121"/>
    </row>
    <row r="122" spans="1:16" ht="14.4" x14ac:dyDescent="0.3">
      <c r="A122"/>
      <c r="B122"/>
      <c r="C122"/>
      <c r="D122"/>
      <c r="E122"/>
      <c r="F122" s="161"/>
      <c r="G122" s="161"/>
      <c r="H122" s="161"/>
      <c r="I122"/>
      <c r="J122"/>
      <c r="K122"/>
      <c r="L122"/>
      <c r="M122"/>
      <c r="N122"/>
      <c r="O122"/>
      <c r="P122"/>
    </row>
    <row r="123" spans="1:16" ht="14.4" x14ac:dyDescent="0.3">
      <c r="A123"/>
      <c r="B123"/>
      <c r="C123"/>
      <c r="D123"/>
      <c r="E123"/>
      <c r="F123" s="161"/>
      <c r="G123" s="161"/>
      <c r="H123" s="161"/>
      <c r="I123"/>
      <c r="J123"/>
      <c r="K123"/>
      <c r="L123"/>
      <c r="M123"/>
      <c r="N123"/>
      <c r="O123"/>
      <c r="P123"/>
    </row>
    <row r="124" spans="1:16" ht="14.4" x14ac:dyDescent="0.3">
      <c r="A124"/>
      <c r="B124"/>
      <c r="C124"/>
      <c r="D124"/>
      <c r="E124"/>
      <c r="F124" s="161"/>
      <c r="G124" s="161"/>
      <c r="H124" s="161"/>
      <c r="I124"/>
      <c r="J124"/>
      <c r="K124"/>
      <c r="L124"/>
      <c r="M124"/>
      <c r="N124"/>
      <c r="O124"/>
      <c r="P124"/>
    </row>
    <row r="125" spans="1:16" ht="14.4" x14ac:dyDescent="0.3">
      <c r="A125"/>
      <c r="B125"/>
      <c r="C125"/>
      <c r="D125"/>
      <c r="E125"/>
      <c r="F125" s="161"/>
      <c r="G125" s="161"/>
      <c r="H125" s="161"/>
      <c r="I125"/>
      <c r="J125"/>
      <c r="K125"/>
      <c r="L125"/>
      <c r="M125"/>
      <c r="N125"/>
      <c r="O125"/>
      <c r="P125"/>
    </row>
    <row r="126" spans="1:16" ht="14.4" x14ac:dyDescent="0.3">
      <c r="A126"/>
      <c r="B126"/>
      <c r="C126"/>
      <c r="D126"/>
      <c r="E126"/>
      <c r="F126" s="161"/>
      <c r="G126" s="161"/>
      <c r="H126" s="161"/>
      <c r="I126"/>
      <c r="J126"/>
      <c r="K126"/>
      <c r="L126"/>
      <c r="M126"/>
      <c r="N126"/>
      <c r="O126"/>
      <c r="P126"/>
    </row>
    <row r="127" spans="1:16" ht="14.4" x14ac:dyDescent="0.3">
      <c r="A127"/>
      <c r="B127"/>
      <c r="C127"/>
      <c r="D127"/>
      <c r="E127"/>
      <c r="F127" s="161"/>
      <c r="G127" s="161"/>
      <c r="H127" s="161"/>
      <c r="I127"/>
      <c r="J127"/>
      <c r="K127"/>
      <c r="L127"/>
      <c r="M127"/>
      <c r="N127"/>
      <c r="O127"/>
      <c r="P127"/>
    </row>
    <row r="128" spans="1:16" ht="14.4" x14ac:dyDescent="0.3">
      <c r="A128"/>
      <c r="B128"/>
      <c r="C128"/>
      <c r="D128"/>
      <c r="E128"/>
      <c r="F128" s="161"/>
      <c r="G128" s="161"/>
      <c r="H128" s="161"/>
      <c r="I128"/>
      <c r="J128"/>
      <c r="K128"/>
      <c r="L128"/>
      <c r="M128"/>
      <c r="N128"/>
      <c r="O128"/>
      <c r="P128"/>
    </row>
    <row r="129" spans="1:16" ht="14.4" x14ac:dyDescent="0.3">
      <c r="A129"/>
      <c r="B129"/>
      <c r="C129"/>
      <c r="D129"/>
      <c r="E129"/>
      <c r="F129" s="161"/>
      <c r="G129" s="161"/>
      <c r="H129" s="161"/>
      <c r="I129"/>
      <c r="J129"/>
      <c r="K129"/>
      <c r="L129"/>
      <c r="M129"/>
      <c r="N129"/>
      <c r="O129"/>
      <c r="P129"/>
    </row>
    <row r="130" spans="1:16" ht="14.4" x14ac:dyDescent="0.3">
      <c r="A130"/>
      <c r="B130"/>
      <c r="C130"/>
      <c r="D130"/>
      <c r="E130"/>
      <c r="F130" s="161"/>
      <c r="G130" s="161"/>
      <c r="H130" s="161"/>
      <c r="I130"/>
      <c r="J130"/>
      <c r="K130"/>
      <c r="L130"/>
      <c r="M130"/>
      <c r="N130"/>
      <c r="O130"/>
      <c r="P130"/>
    </row>
    <row r="131" spans="1:16" ht="14.4" x14ac:dyDescent="0.3">
      <c r="A131"/>
      <c r="B131"/>
      <c r="C131"/>
      <c r="D131"/>
      <c r="E131"/>
      <c r="F131" s="161"/>
      <c r="G131" s="161"/>
      <c r="H131" s="161"/>
      <c r="I131"/>
      <c r="J131"/>
      <c r="K131"/>
      <c r="L131"/>
      <c r="M131"/>
      <c r="N131"/>
      <c r="O131"/>
      <c r="P131"/>
    </row>
    <row r="132" spans="1:16" ht="14.4" x14ac:dyDescent="0.3">
      <c r="A132"/>
      <c r="B132"/>
      <c r="C132"/>
      <c r="D132"/>
      <c r="E132"/>
      <c r="F132" s="161"/>
      <c r="G132" s="161"/>
      <c r="H132" s="161"/>
      <c r="I132"/>
      <c r="J132"/>
      <c r="K132"/>
      <c r="L132"/>
      <c r="M132"/>
      <c r="N132"/>
      <c r="O132"/>
      <c r="P132"/>
    </row>
    <row r="133" spans="1:16" ht="14.4" x14ac:dyDescent="0.3">
      <c r="A133"/>
      <c r="B133"/>
      <c r="C133"/>
      <c r="D133"/>
      <c r="E133"/>
      <c r="F133" s="161"/>
      <c r="G133" s="161"/>
      <c r="H133" s="161"/>
      <c r="I133"/>
      <c r="J133"/>
      <c r="K133"/>
      <c r="L133"/>
      <c r="M133"/>
      <c r="N133"/>
      <c r="O133"/>
      <c r="P133"/>
    </row>
    <row r="134" spans="1:16" ht="14.4" x14ac:dyDescent="0.3">
      <c r="A134"/>
      <c r="B134"/>
      <c r="C134"/>
      <c r="D134"/>
      <c r="E134"/>
      <c r="F134" s="161"/>
      <c r="G134" s="161"/>
      <c r="H134" s="161"/>
      <c r="I134"/>
      <c r="J134"/>
      <c r="K134"/>
      <c r="L134"/>
      <c r="M134"/>
      <c r="N134"/>
      <c r="O134"/>
      <c r="P134"/>
    </row>
    <row r="135" spans="1:16" ht="14.4" x14ac:dyDescent="0.3">
      <c r="A135"/>
      <c r="B135"/>
      <c r="C135"/>
      <c r="D135"/>
      <c r="E135"/>
      <c r="F135" s="161"/>
      <c r="G135" s="161"/>
      <c r="H135" s="161"/>
      <c r="I135"/>
      <c r="J135"/>
      <c r="K135"/>
      <c r="L135"/>
      <c r="M135"/>
      <c r="N135"/>
      <c r="O135"/>
      <c r="P135"/>
    </row>
    <row r="136" spans="1:16" ht="14.4" x14ac:dyDescent="0.3">
      <c r="A136"/>
      <c r="B136"/>
      <c r="C136"/>
      <c r="D136"/>
      <c r="E136"/>
      <c r="F136" s="161"/>
      <c r="G136" s="161"/>
      <c r="H136" s="161"/>
      <c r="I136"/>
      <c r="J136"/>
      <c r="K136"/>
      <c r="L136"/>
      <c r="M136"/>
      <c r="N136"/>
      <c r="O136"/>
      <c r="P136"/>
    </row>
    <row r="137" spans="1:16" ht="14.4" x14ac:dyDescent="0.3">
      <c r="A137"/>
      <c r="B137"/>
      <c r="C137"/>
      <c r="D137"/>
      <c r="E137"/>
      <c r="F137" s="161"/>
      <c r="G137" s="161"/>
      <c r="H137" s="161"/>
      <c r="I137"/>
      <c r="J137"/>
      <c r="K137"/>
      <c r="L137"/>
      <c r="M137"/>
      <c r="N137"/>
      <c r="O137"/>
      <c r="P137"/>
    </row>
    <row r="138" spans="1:16" ht="14.4" x14ac:dyDescent="0.3">
      <c r="A138"/>
      <c r="B138"/>
      <c r="C138"/>
      <c r="D138"/>
      <c r="E138"/>
      <c r="F138" s="161"/>
      <c r="G138" s="161"/>
      <c r="H138" s="161"/>
      <c r="I138"/>
      <c r="J138"/>
      <c r="K138"/>
      <c r="L138"/>
      <c r="M138"/>
      <c r="N138"/>
      <c r="O138"/>
      <c r="P138"/>
    </row>
    <row r="139" spans="1:16" ht="14.4" x14ac:dyDescent="0.3">
      <c r="A139"/>
      <c r="B139"/>
      <c r="C139"/>
      <c r="D139"/>
      <c r="E139"/>
      <c r="F139" s="161"/>
      <c r="G139" s="161"/>
      <c r="H139" s="161"/>
      <c r="I139"/>
      <c r="J139"/>
      <c r="K139"/>
      <c r="L139"/>
      <c r="M139"/>
      <c r="N139"/>
      <c r="O139"/>
      <c r="P139"/>
    </row>
    <row r="140" spans="1:16" ht="14.4" x14ac:dyDescent="0.3">
      <c r="A140"/>
      <c r="B140"/>
      <c r="C140"/>
      <c r="D140"/>
      <c r="E140"/>
      <c r="F140" s="161"/>
      <c r="G140" s="161"/>
      <c r="H140" s="161"/>
      <c r="I140"/>
      <c r="J140"/>
      <c r="K140"/>
      <c r="L140"/>
      <c r="M140"/>
      <c r="N140"/>
      <c r="O140"/>
      <c r="P140"/>
    </row>
    <row r="141" spans="1:16" ht="14.4" x14ac:dyDescent="0.3">
      <c r="A141"/>
      <c r="B141"/>
      <c r="C141"/>
      <c r="D141"/>
      <c r="E141"/>
      <c r="F141" s="161"/>
      <c r="G141" s="161"/>
      <c r="H141" s="161"/>
      <c r="I141"/>
      <c r="J141"/>
      <c r="K141"/>
      <c r="L141"/>
      <c r="M141"/>
      <c r="N141"/>
      <c r="O141"/>
      <c r="P141"/>
    </row>
    <row r="142" spans="1:16" ht="14.4" x14ac:dyDescent="0.3">
      <c r="A142"/>
      <c r="B142"/>
      <c r="C142"/>
      <c r="D142"/>
      <c r="E142"/>
      <c r="F142" s="161"/>
      <c r="G142" s="161"/>
      <c r="H142" s="161"/>
      <c r="I142"/>
      <c r="J142"/>
      <c r="K142"/>
      <c r="L142"/>
      <c r="M142"/>
      <c r="N142"/>
      <c r="O142"/>
      <c r="P142"/>
    </row>
    <row r="143" spans="1:16" ht="14.4" x14ac:dyDescent="0.3">
      <c r="A143"/>
      <c r="B143"/>
      <c r="C143"/>
      <c r="D143"/>
      <c r="E143"/>
      <c r="F143" s="161"/>
      <c r="G143" s="161"/>
      <c r="H143" s="161"/>
      <c r="I143"/>
      <c r="J143"/>
      <c r="K143"/>
      <c r="L143"/>
      <c r="M143"/>
      <c r="N143"/>
      <c r="O143"/>
      <c r="P143"/>
    </row>
    <row r="144" spans="1:16" ht="14.4" x14ac:dyDescent="0.3">
      <c r="A144"/>
      <c r="B144"/>
      <c r="C144"/>
      <c r="D144"/>
      <c r="E144"/>
      <c r="F144" s="161"/>
      <c r="G144" s="161"/>
      <c r="H144" s="161"/>
      <c r="I144"/>
      <c r="J144"/>
      <c r="K144"/>
      <c r="L144"/>
      <c r="M144"/>
      <c r="N144"/>
      <c r="O144"/>
      <c r="P144"/>
    </row>
    <row r="145" spans="1:16" ht="14.4" x14ac:dyDescent="0.3">
      <c r="A145"/>
      <c r="B145"/>
      <c r="C145"/>
      <c r="D145"/>
      <c r="E145"/>
      <c r="F145" s="161"/>
      <c r="G145" s="161"/>
      <c r="H145" s="161"/>
      <c r="I145"/>
      <c r="J145"/>
      <c r="K145"/>
      <c r="L145"/>
      <c r="M145"/>
      <c r="N145"/>
      <c r="O145"/>
      <c r="P145"/>
    </row>
    <row r="146" spans="1:16" ht="14.4" x14ac:dyDescent="0.3">
      <c r="A146"/>
      <c r="B146"/>
      <c r="C146"/>
      <c r="D146"/>
      <c r="E146"/>
      <c r="F146" s="161"/>
      <c r="G146" s="161"/>
      <c r="H146" s="161"/>
      <c r="I146"/>
      <c r="J146"/>
      <c r="K146"/>
      <c r="L146"/>
      <c r="M146"/>
      <c r="N146"/>
      <c r="O146"/>
      <c r="P146"/>
    </row>
    <row r="147" spans="1:16" ht="14.4" x14ac:dyDescent="0.3">
      <c r="A147"/>
      <c r="B147"/>
      <c r="C147"/>
      <c r="D147"/>
      <c r="E147"/>
      <c r="F147" s="161"/>
      <c r="G147" s="161"/>
      <c r="H147" s="161"/>
      <c r="I147"/>
      <c r="J147"/>
      <c r="K147"/>
      <c r="L147"/>
      <c r="M147"/>
      <c r="N147"/>
      <c r="O147"/>
      <c r="P147"/>
    </row>
    <row r="148" spans="1:16" ht="14.4" x14ac:dyDescent="0.3">
      <c r="A148"/>
      <c r="B148"/>
      <c r="C148"/>
      <c r="D148"/>
      <c r="E148"/>
      <c r="F148" s="161"/>
      <c r="G148" s="161"/>
      <c r="H148" s="161"/>
      <c r="I148"/>
      <c r="J148"/>
      <c r="K148"/>
      <c r="L148"/>
      <c r="M148"/>
      <c r="N148"/>
      <c r="O148"/>
      <c r="P148"/>
    </row>
    <row r="149" spans="1:16" ht="14.4" x14ac:dyDescent="0.3">
      <c r="A149"/>
      <c r="B149"/>
      <c r="C149"/>
      <c r="D149"/>
      <c r="E149"/>
      <c r="F149" s="161"/>
      <c r="G149" s="161"/>
      <c r="H149" s="161"/>
      <c r="I149"/>
      <c r="J149"/>
      <c r="K149"/>
      <c r="L149"/>
      <c r="M149"/>
      <c r="N149"/>
      <c r="O149"/>
      <c r="P149"/>
    </row>
    <row r="150" spans="1:16" ht="14.4" x14ac:dyDescent="0.3">
      <c r="A150"/>
      <c r="B150"/>
      <c r="C150"/>
      <c r="D150"/>
      <c r="E150"/>
      <c r="F150" s="161"/>
      <c r="G150" s="161"/>
      <c r="H150" s="161"/>
      <c r="I150"/>
      <c r="J150"/>
      <c r="K150"/>
      <c r="L150"/>
      <c r="M150"/>
      <c r="N150"/>
      <c r="O150"/>
      <c r="P150"/>
    </row>
    <row r="151" spans="1:16" ht="14.4" x14ac:dyDescent="0.3">
      <c r="A151"/>
      <c r="B151"/>
      <c r="C151"/>
      <c r="D151"/>
      <c r="E151"/>
      <c r="F151" s="161"/>
      <c r="G151" s="161"/>
      <c r="H151" s="161"/>
      <c r="I151"/>
      <c r="J151"/>
      <c r="K151"/>
      <c r="L151"/>
      <c r="M151"/>
      <c r="N151"/>
      <c r="O151"/>
      <c r="P151"/>
    </row>
    <row r="152" spans="1:16" ht="14.4" x14ac:dyDescent="0.3">
      <c r="A152"/>
      <c r="B152"/>
      <c r="C152"/>
      <c r="D152"/>
      <c r="E152"/>
      <c r="F152" s="161"/>
      <c r="G152" s="161"/>
      <c r="H152" s="161"/>
      <c r="I152"/>
      <c r="J152"/>
      <c r="K152"/>
      <c r="L152"/>
      <c r="M152"/>
      <c r="N152"/>
      <c r="O152"/>
      <c r="P152"/>
    </row>
    <row r="153" spans="1:16" ht="14.4" x14ac:dyDescent="0.3">
      <c r="A153"/>
      <c r="B153"/>
      <c r="C153"/>
      <c r="D153"/>
      <c r="E153"/>
      <c r="F153" s="161"/>
      <c r="G153" s="161"/>
      <c r="H153" s="161"/>
      <c r="I153"/>
      <c r="J153"/>
      <c r="K153"/>
      <c r="L153"/>
      <c r="M153"/>
      <c r="N153"/>
      <c r="O153"/>
      <c r="P153"/>
    </row>
    <row r="154" spans="1:16" ht="14.4" x14ac:dyDescent="0.3">
      <c r="A154"/>
      <c r="B154"/>
      <c r="C154"/>
      <c r="D154"/>
      <c r="E154"/>
      <c r="F154" s="161"/>
      <c r="G154" s="161"/>
      <c r="H154" s="161"/>
      <c r="I154"/>
      <c r="J154"/>
      <c r="K154"/>
      <c r="L154"/>
      <c r="M154"/>
      <c r="N154"/>
      <c r="O154"/>
      <c r="P154"/>
    </row>
    <row r="155" spans="1:16" ht="14.4" x14ac:dyDescent="0.3">
      <c r="A155"/>
      <c r="B155"/>
      <c r="C155"/>
      <c r="D155"/>
      <c r="E155"/>
      <c r="F155" s="161"/>
      <c r="G155" s="161"/>
      <c r="H155" s="161"/>
      <c r="I155"/>
      <c r="J155"/>
      <c r="K155"/>
      <c r="L155"/>
      <c r="M155"/>
      <c r="N155"/>
      <c r="O155"/>
      <c r="P155"/>
    </row>
    <row r="156" spans="1:16" ht="14.4" x14ac:dyDescent="0.3">
      <c r="A156"/>
      <c r="B156"/>
      <c r="C156"/>
      <c r="D156"/>
      <c r="E156"/>
      <c r="F156" s="161"/>
      <c r="G156" s="161"/>
      <c r="H156" s="161"/>
      <c r="I156"/>
      <c r="J156"/>
      <c r="K156"/>
      <c r="L156"/>
      <c r="M156"/>
      <c r="N156"/>
      <c r="O156"/>
      <c r="P156"/>
    </row>
    <row r="157" spans="1:16" ht="14.4" x14ac:dyDescent="0.3">
      <c r="A157"/>
      <c r="B157"/>
      <c r="C157"/>
      <c r="D157"/>
      <c r="E157"/>
      <c r="F157" s="161"/>
      <c r="G157" s="161"/>
      <c r="H157" s="161"/>
      <c r="I157"/>
      <c r="J157"/>
      <c r="K157"/>
      <c r="L157"/>
      <c r="M157"/>
      <c r="N157"/>
      <c r="O157"/>
      <c r="P157"/>
    </row>
    <row r="158" spans="1:16" ht="14.4" x14ac:dyDescent="0.3">
      <c r="A158"/>
      <c r="B158"/>
      <c r="C158"/>
      <c r="D158"/>
      <c r="E158"/>
      <c r="F158" s="161"/>
      <c r="G158" s="161"/>
      <c r="H158" s="161"/>
      <c r="I158"/>
      <c r="J158"/>
      <c r="K158"/>
      <c r="L158"/>
      <c r="M158"/>
      <c r="N158"/>
      <c r="O158"/>
      <c r="P158"/>
    </row>
    <row r="159" spans="1:16" ht="14.4" x14ac:dyDescent="0.3">
      <c r="A159"/>
      <c r="B159"/>
      <c r="C159"/>
      <c r="D159"/>
      <c r="E159"/>
      <c r="F159" s="161"/>
      <c r="G159" s="161"/>
      <c r="H159" s="161"/>
      <c r="I159"/>
      <c r="J159"/>
      <c r="K159"/>
      <c r="L159"/>
      <c r="M159"/>
      <c r="N159"/>
      <c r="O159"/>
      <c r="P159"/>
    </row>
    <row r="160" spans="1:16" ht="14.4" x14ac:dyDescent="0.3">
      <c r="A160"/>
      <c r="B160"/>
      <c r="C160"/>
      <c r="D160"/>
      <c r="E160"/>
      <c r="F160" s="161"/>
      <c r="G160" s="161"/>
      <c r="H160" s="161"/>
      <c r="I160"/>
      <c r="J160"/>
      <c r="K160"/>
      <c r="L160"/>
      <c r="M160"/>
      <c r="N160"/>
      <c r="O160"/>
      <c r="P160"/>
    </row>
    <row r="161" spans="1:16" ht="14.4" x14ac:dyDescent="0.3">
      <c r="A161"/>
      <c r="B161"/>
      <c r="C161"/>
      <c r="D161"/>
      <c r="E161"/>
      <c r="F161" s="161"/>
      <c r="G161" s="161"/>
      <c r="H161" s="161"/>
      <c r="I161"/>
      <c r="J161"/>
      <c r="K161"/>
      <c r="L161"/>
      <c r="M161"/>
      <c r="N161"/>
      <c r="O161"/>
      <c r="P161"/>
    </row>
    <row r="162" spans="1:16" ht="14.4" x14ac:dyDescent="0.3">
      <c r="A162"/>
      <c r="B162"/>
      <c r="C162"/>
      <c r="D162"/>
      <c r="E162"/>
      <c r="F162" s="161"/>
      <c r="G162" s="161"/>
      <c r="H162" s="161"/>
      <c r="I162"/>
      <c r="J162"/>
      <c r="K162"/>
      <c r="L162"/>
      <c r="M162"/>
      <c r="N162"/>
      <c r="O162"/>
      <c r="P162"/>
    </row>
    <row r="163" spans="1:16" ht="14.4" x14ac:dyDescent="0.3">
      <c r="A163"/>
      <c r="B163"/>
      <c r="C163"/>
      <c r="D163"/>
      <c r="E163"/>
      <c r="F163" s="161"/>
      <c r="G163" s="161"/>
      <c r="H163" s="161"/>
      <c r="I163"/>
      <c r="J163"/>
      <c r="K163"/>
      <c r="L163"/>
      <c r="M163"/>
      <c r="N163"/>
      <c r="O163"/>
      <c r="P163"/>
    </row>
    <row r="164" spans="1:16" ht="14.4" x14ac:dyDescent="0.3">
      <c r="A164"/>
      <c r="B164"/>
      <c r="C164"/>
      <c r="D164"/>
      <c r="E164"/>
      <c r="F164" s="161"/>
      <c r="G164" s="161"/>
      <c r="H164" s="161"/>
      <c r="I164"/>
      <c r="J164"/>
      <c r="K164"/>
      <c r="L164"/>
      <c r="M164"/>
      <c r="N164"/>
      <c r="O164"/>
      <c r="P164"/>
    </row>
    <row r="165" spans="1:16" ht="14.4" x14ac:dyDescent="0.3">
      <c r="A165"/>
      <c r="B165"/>
      <c r="C165"/>
      <c r="D165"/>
      <c r="E165"/>
      <c r="F165" s="161"/>
      <c r="G165" s="161"/>
      <c r="H165" s="161"/>
      <c r="I165"/>
      <c r="J165"/>
      <c r="K165"/>
      <c r="L165"/>
      <c r="M165"/>
      <c r="N165"/>
      <c r="O165"/>
      <c r="P165"/>
    </row>
    <row r="166" spans="1:16" ht="14.4" x14ac:dyDescent="0.3">
      <c r="A166"/>
      <c r="B166"/>
      <c r="C166"/>
      <c r="D166"/>
      <c r="E166"/>
      <c r="F166" s="161"/>
      <c r="G166" s="161"/>
      <c r="H166" s="161"/>
      <c r="I166"/>
      <c r="J166"/>
      <c r="K166"/>
      <c r="L166"/>
      <c r="M166"/>
      <c r="N166"/>
      <c r="O166"/>
      <c r="P166"/>
    </row>
    <row r="167" spans="1:16" ht="14.4" x14ac:dyDescent="0.3">
      <c r="A167"/>
      <c r="B167"/>
      <c r="C167"/>
      <c r="D167"/>
      <c r="E167"/>
      <c r="F167" s="161"/>
      <c r="G167" s="161"/>
      <c r="H167" s="161"/>
      <c r="I167"/>
      <c r="J167"/>
      <c r="K167"/>
      <c r="L167"/>
      <c r="M167"/>
      <c r="N167"/>
      <c r="O167"/>
      <c r="P167"/>
    </row>
    <row r="168" spans="1:16" ht="14.4" x14ac:dyDescent="0.3">
      <c r="A168"/>
      <c r="B168"/>
      <c r="C168"/>
      <c r="D168"/>
      <c r="E168"/>
      <c r="F168" s="161"/>
      <c r="G168" s="161"/>
      <c r="H168" s="161"/>
      <c r="I168"/>
      <c r="J168"/>
      <c r="K168"/>
      <c r="L168"/>
      <c r="M168"/>
      <c r="N168"/>
      <c r="O168"/>
      <c r="P168"/>
    </row>
    <row r="169" spans="1:16" ht="14.4" x14ac:dyDescent="0.3">
      <c r="A169"/>
      <c r="B169"/>
      <c r="C169"/>
      <c r="D169"/>
      <c r="E169"/>
      <c r="F169" s="161"/>
      <c r="G169" s="161"/>
      <c r="H169" s="161"/>
      <c r="I169"/>
      <c r="J169"/>
      <c r="K169"/>
      <c r="L169"/>
      <c r="M169"/>
      <c r="N169"/>
      <c r="O169"/>
      <c r="P169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L545"/>
  <sheetViews>
    <sheetView showGridLines="0" tabSelected="1" topLeftCell="A130" zoomScaleNormal="100" workbookViewId="0">
      <selection activeCell="G457" sqref="G457"/>
    </sheetView>
  </sheetViews>
  <sheetFormatPr baseColWidth="10" defaultColWidth="11.5546875" defaultRowHeight="13.8" x14ac:dyDescent="0.3"/>
  <cols>
    <col min="1" max="1" width="11.5546875" style="4"/>
    <col min="2" max="2" width="11.6640625" style="53" bestFit="1" customWidth="1"/>
    <col min="3" max="3" width="14.5546875" style="4" customWidth="1"/>
    <col min="4" max="4" width="9.88671875" style="4" customWidth="1"/>
    <col min="5" max="5" width="16" style="4" customWidth="1"/>
    <col min="6" max="6" width="16.33203125" style="4" customWidth="1"/>
    <col min="7" max="7" width="40.6640625" style="4" bestFit="1" customWidth="1"/>
    <col min="8" max="8" width="12.109375" style="4" bestFit="1" customWidth="1"/>
    <col min="9" max="9" width="56.6640625" style="4" customWidth="1"/>
    <col min="10" max="10" width="12.109375" style="4" customWidth="1"/>
    <col min="11" max="11" width="12.109375" style="10" customWidth="1"/>
    <col min="12" max="12" width="14.6640625" style="4" customWidth="1"/>
    <col min="13" max="13" width="15.44140625" style="4" customWidth="1"/>
    <col min="14" max="14" width="11.6640625" style="4" customWidth="1"/>
    <col min="15" max="15" width="13.33203125" style="4" customWidth="1"/>
    <col min="16" max="16" width="13" style="4" customWidth="1"/>
    <col min="17" max="17" width="13.6640625" style="4" customWidth="1"/>
    <col min="18" max="18" width="12" style="4" customWidth="1"/>
    <col min="19" max="19" width="14.44140625" style="10" customWidth="1"/>
    <col min="20" max="20" width="18.33203125" style="4" customWidth="1"/>
    <col min="21" max="21" width="14.33203125" style="4" customWidth="1"/>
    <col min="22" max="22" width="14.6640625" style="10" customWidth="1"/>
    <col min="23" max="23" width="16" style="10" customWidth="1"/>
    <col min="24" max="24" width="11.6640625" style="4" customWidth="1"/>
    <col min="25" max="26" width="13.6640625" style="49" customWidth="1"/>
    <col min="27" max="27" width="13.6640625" style="53" customWidth="1"/>
    <col min="28" max="28" width="16.109375" style="10" bestFit="1" customWidth="1"/>
    <col min="29" max="29" width="11.6640625" style="4" hidden="1" customWidth="1"/>
    <col min="30" max="30" width="15.88671875" style="4" hidden="1" customWidth="1"/>
    <col min="31" max="31" width="13.6640625" style="4" hidden="1" customWidth="1"/>
    <col min="32" max="32" width="16.88671875" style="4" hidden="1" customWidth="1"/>
    <col min="33" max="33" width="11.6640625" style="4" hidden="1" customWidth="1"/>
    <col min="34" max="34" width="13.33203125" style="10" customWidth="1"/>
    <col min="35" max="35" width="13.6640625" style="4" hidden="1" customWidth="1"/>
    <col min="36" max="36" width="35.21875" style="4" bestFit="1" customWidth="1"/>
    <col min="37" max="16384" width="11.5546875" style="4"/>
  </cols>
  <sheetData>
    <row r="1" spans="1:38" x14ac:dyDescent="0.3">
      <c r="A1" s="1" t="s">
        <v>0</v>
      </c>
      <c r="B1" s="52"/>
      <c r="C1" s="2"/>
      <c r="D1" s="3"/>
      <c r="E1" s="3"/>
      <c r="F1" s="3"/>
      <c r="G1" s="2"/>
      <c r="H1" s="2"/>
      <c r="I1" s="2"/>
      <c r="J1" s="2"/>
      <c r="K1" s="33"/>
      <c r="L1" s="2"/>
      <c r="M1" s="2"/>
      <c r="N1" s="2"/>
      <c r="O1" s="2"/>
      <c r="P1" s="2"/>
      <c r="Q1" s="2"/>
      <c r="R1" s="2"/>
      <c r="S1" s="33"/>
      <c r="T1" s="2"/>
      <c r="U1" s="2"/>
      <c r="V1" s="33"/>
      <c r="W1" s="33"/>
      <c r="X1" s="2"/>
      <c r="Y1" s="46"/>
      <c r="Z1" s="46"/>
      <c r="AA1" s="52"/>
      <c r="AB1" s="33"/>
      <c r="AC1" s="2"/>
      <c r="AD1" s="2"/>
      <c r="AE1" s="2"/>
      <c r="AF1" s="2"/>
      <c r="AG1" s="2"/>
      <c r="AH1" s="33"/>
      <c r="AI1" s="2"/>
    </row>
    <row r="2" spans="1:38" x14ac:dyDescent="0.3">
      <c r="A2" s="1" t="s">
        <v>1</v>
      </c>
      <c r="B2" s="52"/>
      <c r="C2" s="2"/>
      <c r="D2" s="3"/>
      <c r="E2" s="3"/>
      <c r="F2" s="3"/>
      <c r="G2" s="2"/>
      <c r="H2" s="2"/>
      <c r="I2" s="2"/>
      <c r="J2" s="2"/>
      <c r="K2" s="33"/>
      <c r="L2" s="2"/>
      <c r="M2" s="2"/>
      <c r="N2" s="2"/>
      <c r="O2" s="2"/>
      <c r="P2" s="2"/>
      <c r="Q2" s="2"/>
      <c r="R2" s="2"/>
      <c r="S2" s="33"/>
      <c r="T2" s="2"/>
      <c r="U2" s="2"/>
      <c r="V2" s="33"/>
      <c r="W2" s="33"/>
      <c r="X2" s="2"/>
      <c r="Y2" s="46"/>
      <c r="Z2" s="46"/>
      <c r="AA2" s="52"/>
      <c r="AB2" s="33"/>
      <c r="AC2" s="2"/>
      <c r="AD2" s="2"/>
      <c r="AE2" s="2"/>
      <c r="AF2" s="2"/>
      <c r="AG2" s="2"/>
      <c r="AH2" s="33"/>
      <c r="AI2" s="2"/>
    </row>
    <row r="3" spans="1:38" x14ac:dyDescent="0.3">
      <c r="A3" s="5"/>
      <c r="C3" s="6"/>
      <c r="D3" s="5"/>
      <c r="E3" s="5"/>
      <c r="F3" s="5"/>
      <c r="G3" s="6"/>
      <c r="I3" s="6"/>
      <c r="K3" s="174" t="s">
        <v>328</v>
      </c>
      <c r="L3" s="7">
        <f>+SUM(Tabla1[Neto])</f>
        <v>193762685.7879999</v>
      </c>
      <c r="M3" s="7">
        <f>+SUM(Tabla1[IVA 21%])</f>
        <v>18986159.095379997</v>
      </c>
      <c r="N3" s="7">
        <f>+SUM(Tabla1[IVA 10,5%])</f>
        <v>374264.56765000004</v>
      </c>
      <c r="O3" s="7">
        <f>+SUM(Tabla1[IVA 27%])</f>
        <v>1596769.25</v>
      </c>
      <c r="P3" s="7">
        <f>+SUM(Tabla1[No Gravado])</f>
        <v>79.569999999999993</v>
      </c>
      <c r="Q3" s="7">
        <f>+SUM(Tabla1[Exento])</f>
        <v>32716933.479999997</v>
      </c>
      <c r="R3" s="7">
        <f>+SUM(Tabla1[Percepcion IVA 3%])</f>
        <v>201809.10579999999</v>
      </c>
      <c r="S3" s="7">
        <f>+SUM(Tabla1[Percepcion IIBB Salta 3,6%])</f>
        <v>858518.76876000024</v>
      </c>
      <c r="T3" s="7">
        <f>+SUM(Tabla1[Impuestos Internos / Otros Tributos])</f>
        <v>678386.58586999995</v>
      </c>
      <c r="U3" s="7">
        <f>+SUM(Tabla1[Credito Fiscal])</f>
        <v>20957192.913029991</v>
      </c>
      <c r="V3" s="7">
        <f>+SUM(Tabla1[Total])</f>
        <v>249175606.21146002</v>
      </c>
      <c r="W3" s="7">
        <f>+SUM(Tabla1[Total a Pagar])</f>
        <v>249166708.12706003</v>
      </c>
      <c r="X3" s="7">
        <f>+SUM(Tabla1[SICORE])</f>
        <v>1088958.2940000002</v>
      </c>
      <c r="Y3" s="47"/>
      <c r="Z3" s="47"/>
      <c r="AA3" s="106"/>
      <c r="AB3" s="7">
        <f>+SUM(Tabla1[Banco Macro CC])</f>
        <v>188887393.8522101</v>
      </c>
      <c r="AC3" s="7">
        <f>+SUM(Tabla1[Banco Macro CC Esp.])</f>
        <v>0</v>
      </c>
      <c r="AD3" s="7">
        <f>+SUM(Tabla1[Saldo S/Contabilidad])</f>
        <v>0</v>
      </c>
      <c r="AE3" s="7">
        <f>+SUM(Tabla1[PROVISIONES 2023])</f>
        <v>0</v>
      </c>
      <c r="AF3" s="7">
        <f>+SUM(Tabla1[ANTICIPOS A PROV.2023])</f>
        <v>0</v>
      </c>
      <c r="AG3" s="7">
        <f>+SUM(Tabla1[Ajustes])</f>
        <v>0</v>
      </c>
      <c r="AH3" s="27">
        <f>+SUM(Tabla1[Caja])</f>
        <v>5138769.0710699996</v>
      </c>
      <c r="AI3" s="7"/>
      <c r="AJ3" s="6"/>
      <c r="AK3" s="6"/>
      <c r="AL3" s="6"/>
    </row>
    <row r="4" spans="1:38" s="11" customFormat="1" ht="34.200000000000003" customHeight="1" thickBot="1" x14ac:dyDescent="0.35">
      <c r="A4" s="16" t="s">
        <v>2</v>
      </c>
      <c r="B4" s="54" t="s">
        <v>3</v>
      </c>
      <c r="C4" s="16" t="s">
        <v>204</v>
      </c>
      <c r="D4" s="16" t="s">
        <v>4</v>
      </c>
      <c r="E4" s="16" t="s">
        <v>205</v>
      </c>
      <c r="F4" s="16" t="s">
        <v>500</v>
      </c>
      <c r="G4" s="16" t="s">
        <v>364</v>
      </c>
      <c r="H4" s="16" t="s">
        <v>6</v>
      </c>
      <c r="I4" s="16" t="s">
        <v>5</v>
      </c>
      <c r="J4" s="16" t="s">
        <v>380</v>
      </c>
      <c r="K4" s="16" t="s">
        <v>875</v>
      </c>
      <c r="L4" s="16" t="s">
        <v>7</v>
      </c>
      <c r="M4" s="16" t="s">
        <v>8</v>
      </c>
      <c r="N4" s="16" t="s">
        <v>9</v>
      </c>
      <c r="O4" s="16" t="s">
        <v>10</v>
      </c>
      <c r="P4" s="16" t="s">
        <v>206</v>
      </c>
      <c r="Q4" s="16" t="s">
        <v>501</v>
      </c>
      <c r="R4" s="16" t="s">
        <v>11</v>
      </c>
      <c r="S4" s="16" t="s">
        <v>12</v>
      </c>
      <c r="T4" s="16" t="s">
        <v>13</v>
      </c>
      <c r="U4" s="16" t="s">
        <v>207</v>
      </c>
      <c r="V4" s="16" t="s">
        <v>14</v>
      </c>
      <c r="W4" s="16" t="s">
        <v>15</v>
      </c>
      <c r="X4" s="16" t="s">
        <v>16</v>
      </c>
      <c r="Y4" s="16" t="s">
        <v>323</v>
      </c>
      <c r="Z4" s="16" t="s">
        <v>976</v>
      </c>
      <c r="AA4" s="54" t="s">
        <v>335</v>
      </c>
      <c r="AB4" s="16" t="s">
        <v>17</v>
      </c>
      <c r="AC4" s="16" t="s">
        <v>18</v>
      </c>
      <c r="AD4" s="16" t="s">
        <v>19</v>
      </c>
      <c r="AE4" s="16" t="s">
        <v>20</v>
      </c>
      <c r="AF4" s="16" t="s">
        <v>21</v>
      </c>
      <c r="AG4" s="16" t="s">
        <v>22</v>
      </c>
      <c r="AH4" s="16" t="s">
        <v>23</v>
      </c>
      <c r="AI4" s="16" t="s">
        <v>24</v>
      </c>
      <c r="AJ4" s="226" t="s">
        <v>977</v>
      </c>
    </row>
    <row r="5" spans="1:38" ht="13.95" hidden="1" customHeight="1" x14ac:dyDescent="0.3">
      <c r="A5" s="102" t="s">
        <v>808</v>
      </c>
      <c r="B5" s="103">
        <v>45391</v>
      </c>
      <c r="C5" s="118" t="s">
        <v>26</v>
      </c>
      <c r="D5" s="8" t="s">
        <v>27</v>
      </c>
      <c r="E5" s="9" t="s">
        <v>32</v>
      </c>
      <c r="F5" s="9" t="s">
        <v>809</v>
      </c>
      <c r="G5" s="4" t="s">
        <v>793</v>
      </c>
      <c r="H5" s="4">
        <v>20139171927</v>
      </c>
      <c r="I5" s="4" t="s">
        <v>810</v>
      </c>
      <c r="J5" s="8" t="s">
        <v>381</v>
      </c>
      <c r="K5" s="173">
        <v>1</v>
      </c>
      <c r="L5" s="105">
        <v>12000</v>
      </c>
      <c r="M5" s="105">
        <v>0</v>
      </c>
      <c r="N5" s="105">
        <v>0</v>
      </c>
      <c r="O5" s="105">
        <v>0</v>
      </c>
      <c r="P5" s="105">
        <v>0</v>
      </c>
      <c r="Q5" s="105">
        <v>0</v>
      </c>
      <c r="R5" s="105">
        <v>0</v>
      </c>
      <c r="S5" s="105">
        <v>0</v>
      </c>
      <c r="T5" s="105">
        <v>0</v>
      </c>
      <c r="U5" s="105">
        <f>+SUM(Tabla1[[#This Row],[IVA 21%]:[IVA 27%]])</f>
        <v>0</v>
      </c>
      <c r="V5" s="10">
        <f>+SUM(Tabla1[[#This Row],[Neto]:[Impuestos Internos / Otros Tributos]])</f>
        <v>12000</v>
      </c>
      <c r="W5" s="10">
        <f>+Tabla1[[#This Row],[Total]]</f>
        <v>12000</v>
      </c>
      <c r="X5" s="105"/>
      <c r="Y5" s="119" t="s">
        <v>325</v>
      </c>
      <c r="Z5" s="119"/>
      <c r="AA5" s="117"/>
      <c r="AB5" s="105"/>
      <c r="AC5" s="104"/>
      <c r="AD5" s="104"/>
      <c r="AE5" s="104"/>
      <c r="AF5" s="104"/>
      <c r="AG5" s="104"/>
      <c r="AH5" s="105"/>
      <c r="AI5" s="104"/>
      <c r="AJ5" s="188"/>
    </row>
    <row r="6" spans="1:38" ht="13.95" hidden="1" customHeight="1" x14ac:dyDescent="0.3">
      <c r="A6" s="102" t="s">
        <v>805</v>
      </c>
      <c r="B6" s="103">
        <v>45422</v>
      </c>
      <c r="C6" s="118" t="s">
        <v>26</v>
      </c>
      <c r="D6" s="8" t="s">
        <v>27</v>
      </c>
      <c r="E6" s="9" t="s">
        <v>32</v>
      </c>
      <c r="F6" s="9" t="s">
        <v>806</v>
      </c>
      <c r="G6" s="4" t="s">
        <v>793</v>
      </c>
      <c r="H6" s="4">
        <v>20139171927</v>
      </c>
      <c r="I6" s="4" t="s">
        <v>807</v>
      </c>
      <c r="J6" s="8" t="s">
        <v>381</v>
      </c>
      <c r="K6" s="173">
        <v>1</v>
      </c>
      <c r="L6" s="105">
        <v>12000</v>
      </c>
      <c r="M6" s="105">
        <v>0</v>
      </c>
      <c r="N6" s="105">
        <v>0</v>
      </c>
      <c r="O6" s="105">
        <v>0</v>
      </c>
      <c r="P6" s="105">
        <v>0</v>
      </c>
      <c r="Q6" s="105">
        <v>0</v>
      </c>
      <c r="R6" s="105">
        <v>0</v>
      </c>
      <c r="S6" s="105">
        <v>0</v>
      </c>
      <c r="T6" s="105">
        <v>0</v>
      </c>
      <c r="U6" s="105">
        <f>+SUM(Tabla1[[#This Row],[IVA 21%]:[IVA 27%]])</f>
        <v>0</v>
      </c>
      <c r="V6" s="10">
        <f>+SUM(Tabla1[[#This Row],[Neto]:[Impuestos Internos / Otros Tributos]])</f>
        <v>12000</v>
      </c>
      <c r="W6" s="10">
        <f>+Tabla1[[#This Row],[Total]]</f>
        <v>12000</v>
      </c>
      <c r="X6" s="105"/>
      <c r="Y6" s="119" t="s">
        <v>325</v>
      </c>
      <c r="Z6" s="119"/>
      <c r="AA6" s="117"/>
      <c r="AB6" s="105"/>
      <c r="AC6" s="104"/>
      <c r="AD6" s="104"/>
      <c r="AE6" s="104"/>
      <c r="AF6" s="104"/>
      <c r="AG6" s="104"/>
      <c r="AH6" s="105"/>
      <c r="AI6" s="104"/>
      <c r="AJ6" s="188"/>
    </row>
    <row r="7" spans="1:38" ht="13.95" hidden="1" customHeight="1" x14ac:dyDescent="0.3">
      <c r="A7" s="36" t="s">
        <v>496</v>
      </c>
      <c r="B7" s="55">
        <v>45492</v>
      </c>
      <c r="C7" s="37" t="s">
        <v>26</v>
      </c>
      <c r="D7" s="36" t="s">
        <v>58</v>
      </c>
      <c r="E7" s="45" t="s">
        <v>74</v>
      </c>
      <c r="F7" s="45" t="s">
        <v>497</v>
      </c>
      <c r="G7" s="38" t="s">
        <v>445</v>
      </c>
      <c r="H7" s="38">
        <v>30708764236</v>
      </c>
      <c r="I7" s="38" t="s">
        <v>498</v>
      </c>
      <c r="J7" s="36" t="s">
        <v>381</v>
      </c>
      <c r="K7" s="173">
        <v>1</v>
      </c>
      <c r="L7" s="39">
        <v>667687.19999999995</v>
      </c>
      <c r="M7" s="39">
        <f>+Tabla1[[#This Row],[Neto]]*21%</f>
        <v>140214.31199999998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f>+SUM(Tabla1[[#This Row],[IVA 21%]:[IVA 27%]])</f>
        <v>140214.31199999998</v>
      </c>
      <c r="V7" s="10">
        <f>+SUM(Tabla1[[#This Row],[Neto]:[Impuestos Internos / Otros Tributos]])</f>
        <v>807901.51199999987</v>
      </c>
      <c r="W7" s="10">
        <f>+Tabla1[[#This Row],[Total]]</f>
        <v>807901.51199999987</v>
      </c>
      <c r="X7" s="39">
        <v>13353.74</v>
      </c>
      <c r="Y7" s="10" t="s">
        <v>324</v>
      </c>
      <c r="Z7" s="10"/>
      <c r="AA7" s="107">
        <v>45583</v>
      </c>
      <c r="AB7" s="50">
        <f>+Tabla1[[#This Row],[Total a Pagar]]-Tabla1[[#This Row],[SICORE]]</f>
        <v>794547.77199999988</v>
      </c>
      <c r="AC7" s="38"/>
      <c r="AD7" s="38"/>
      <c r="AE7" s="38"/>
      <c r="AF7" s="38"/>
      <c r="AG7" s="38"/>
      <c r="AH7" s="39">
        <v>0</v>
      </c>
      <c r="AI7" s="38"/>
      <c r="AJ7" s="188"/>
    </row>
    <row r="8" spans="1:38" ht="13.95" hidden="1" customHeight="1" x14ac:dyDescent="0.3">
      <c r="A8" s="78" t="s">
        <v>496</v>
      </c>
      <c r="B8" s="79">
        <v>45495</v>
      </c>
      <c r="C8" s="80" t="s">
        <v>26</v>
      </c>
      <c r="D8" s="78" t="s">
        <v>58</v>
      </c>
      <c r="E8" s="85" t="s">
        <v>37</v>
      </c>
      <c r="F8" s="85" t="s">
        <v>660</v>
      </c>
      <c r="G8" s="81" t="s">
        <v>661</v>
      </c>
      <c r="H8" s="81">
        <v>20203998091</v>
      </c>
      <c r="I8" s="81" t="s">
        <v>142</v>
      </c>
      <c r="J8" s="78" t="s">
        <v>381</v>
      </c>
      <c r="K8" s="173">
        <v>1</v>
      </c>
      <c r="L8" s="82">
        <v>151534.07999999999</v>
      </c>
      <c r="M8" s="82">
        <f>+Tabla1[[#This Row],[Neto]]*21%</f>
        <v>31822.156799999997</v>
      </c>
      <c r="N8" s="82">
        <v>0</v>
      </c>
      <c r="O8" s="82">
        <v>0</v>
      </c>
      <c r="P8" s="82">
        <v>0</v>
      </c>
      <c r="Q8" s="82">
        <v>173589</v>
      </c>
      <c r="R8" s="82">
        <v>0</v>
      </c>
      <c r="S8" s="82">
        <v>0</v>
      </c>
      <c r="T8" s="82">
        <v>0</v>
      </c>
      <c r="U8" s="82">
        <f>+SUM(Tabla1[[#This Row],[IVA 21%]:[IVA 27%]])</f>
        <v>31822.156799999997</v>
      </c>
      <c r="V8" s="10">
        <f>+SUM(Tabla1[[#This Row],[Neto]:[Impuestos Internos / Otros Tributos]])</f>
        <v>356945.23679999996</v>
      </c>
      <c r="W8" s="10">
        <f>+Tabla1[[#This Row],[Total]]</f>
        <v>356945.23679999996</v>
      </c>
      <c r="X8" s="82"/>
      <c r="Y8" s="49" t="s">
        <v>324</v>
      </c>
      <c r="AA8" s="108"/>
      <c r="AB8" s="82"/>
      <c r="AC8" s="81"/>
      <c r="AD8" s="81"/>
      <c r="AE8" s="81"/>
      <c r="AF8" s="81"/>
      <c r="AG8" s="81"/>
      <c r="AH8" s="82"/>
      <c r="AI8" s="81"/>
      <c r="AJ8" s="188"/>
    </row>
    <row r="9" spans="1:38" ht="13.95" hidden="1" customHeight="1" x14ac:dyDescent="0.3">
      <c r="A9" s="8" t="s">
        <v>496</v>
      </c>
      <c r="B9" s="53">
        <v>45497</v>
      </c>
      <c r="C9" s="12" t="s">
        <v>26</v>
      </c>
      <c r="D9" s="8" t="s">
        <v>58</v>
      </c>
      <c r="E9" s="9" t="s">
        <v>37</v>
      </c>
      <c r="F9" s="9" t="s">
        <v>662</v>
      </c>
      <c r="G9" s="4" t="s">
        <v>661</v>
      </c>
      <c r="H9" s="4">
        <v>20203998091</v>
      </c>
      <c r="I9" s="4" t="s">
        <v>142</v>
      </c>
      <c r="J9" s="8" t="s">
        <v>381</v>
      </c>
      <c r="K9" s="173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2681280</v>
      </c>
      <c r="R9" s="10">
        <v>0</v>
      </c>
      <c r="S9" s="10">
        <v>0</v>
      </c>
      <c r="T9" s="10">
        <v>0</v>
      </c>
      <c r="U9" s="10">
        <f>+SUM(Tabla1[[#This Row],[IVA 21%]:[IVA 27%]])</f>
        <v>0</v>
      </c>
      <c r="V9" s="10">
        <f>+SUM(Tabla1[[#This Row],[Neto]:[Impuestos Internos / Otros Tributos]])</f>
        <v>2681280</v>
      </c>
      <c r="W9" s="10">
        <f>+Tabla1[[#This Row],[Total]]</f>
        <v>2681280</v>
      </c>
      <c r="X9" s="10"/>
      <c r="Y9" s="49" t="s">
        <v>324</v>
      </c>
      <c r="AA9" s="109"/>
      <c r="AJ9" s="188"/>
    </row>
    <row r="10" spans="1:38" ht="13.95" hidden="1" customHeight="1" x14ac:dyDescent="0.3">
      <c r="A10" s="8" t="s">
        <v>496</v>
      </c>
      <c r="B10" s="53">
        <v>45497</v>
      </c>
      <c r="C10" s="12" t="s">
        <v>26</v>
      </c>
      <c r="D10" s="8" t="s">
        <v>58</v>
      </c>
      <c r="E10" s="9" t="s">
        <v>37</v>
      </c>
      <c r="F10" s="9" t="s">
        <v>663</v>
      </c>
      <c r="G10" s="4" t="s">
        <v>661</v>
      </c>
      <c r="H10" s="4">
        <v>20203998091</v>
      </c>
      <c r="I10" s="4" t="s">
        <v>142</v>
      </c>
      <c r="J10" s="8" t="s">
        <v>381</v>
      </c>
      <c r="K10" s="173">
        <v>1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173589</v>
      </c>
      <c r="R10" s="10">
        <v>0</v>
      </c>
      <c r="S10" s="10">
        <v>0</v>
      </c>
      <c r="T10" s="10">
        <v>0</v>
      </c>
      <c r="U10" s="10">
        <f>+SUM(Tabla1[[#This Row],[IVA 21%]:[IVA 27%]])</f>
        <v>0</v>
      </c>
      <c r="V10" s="10">
        <f>+SUM(Tabla1[[#This Row],[Neto]:[Impuestos Internos / Otros Tributos]])</f>
        <v>173589</v>
      </c>
      <c r="W10" s="10">
        <f>+Tabla1[[#This Row],[Total]]</f>
        <v>173589</v>
      </c>
      <c r="X10" s="10"/>
      <c r="Y10" s="49" t="s">
        <v>324</v>
      </c>
      <c r="AA10" s="109"/>
      <c r="AJ10" s="188"/>
    </row>
    <row r="11" spans="1:38" ht="13.95" hidden="1" customHeight="1" x14ac:dyDescent="0.3">
      <c r="A11" s="8" t="s">
        <v>496</v>
      </c>
      <c r="B11" s="53">
        <v>45498</v>
      </c>
      <c r="C11" s="12" t="s">
        <v>26</v>
      </c>
      <c r="D11" s="8" t="s">
        <v>58</v>
      </c>
      <c r="E11" s="9" t="s">
        <v>37</v>
      </c>
      <c r="F11" s="9" t="s">
        <v>664</v>
      </c>
      <c r="G11" s="4" t="s">
        <v>661</v>
      </c>
      <c r="H11" s="4">
        <v>20203998091</v>
      </c>
      <c r="I11" s="4" t="s">
        <v>142</v>
      </c>
      <c r="J11" s="8" t="s">
        <v>381</v>
      </c>
      <c r="K11" s="173">
        <v>1</v>
      </c>
      <c r="L11" s="10">
        <v>103451.61</v>
      </c>
      <c r="M11" s="10">
        <f>+Tabla1[[#This Row],[Neto]]*21%</f>
        <v>21724.838100000001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f>+SUM(Tabla1[[#This Row],[IVA 21%]:[IVA 27%]])</f>
        <v>21724.838100000001</v>
      </c>
      <c r="V11" s="10">
        <f>+SUM(Tabla1[[#This Row],[Neto]:[Impuestos Internos / Otros Tributos]])</f>
        <v>125176.44810000001</v>
      </c>
      <c r="W11" s="10">
        <f>+Tabla1[[#This Row],[Total]]</f>
        <v>125176.44810000001</v>
      </c>
      <c r="X11" s="10"/>
      <c r="Y11" s="49" t="s">
        <v>324</v>
      </c>
      <c r="AA11" s="109"/>
      <c r="AJ11" s="188"/>
    </row>
    <row r="12" spans="1:38" ht="13.95" hidden="1" customHeight="1" x14ac:dyDescent="0.3">
      <c r="A12" s="102" t="s">
        <v>496</v>
      </c>
      <c r="B12" s="103">
        <v>45498</v>
      </c>
      <c r="C12" s="12" t="s">
        <v>26</v>
      </c>
      <c r="D12" s="8" t="s">
        <v>27</v>
      </c>
      <c r="E12" s="9" t="s">
        <v>32</v>
      </c>
      <c r="F12" s="9" t="s">
        <v>803</v>
      </c>
      <c r="G12" s="4" t="s">
        <v>793</v>
      </c>
      <c r="H12" s="4">
        <v>20139171927</v>
      </c>
      <c r="I12" s="4" t="s">
        <v>804</v>
      </c>
      <c r="J12" s="8" t="s">
        <v>381</v>
      </c>
      <c r="K12" s="173">
        <v>1</v>
      </c>
      <c r="L12" s="105">
        <v>12000</v>
      </c>
      <c r="M12" s="105">
        <v>0</v>
      </c>
      <c r="N12" s="105">
        <v>0</v>
      </c>
      <c r="O12" s="105">
        <v>0</v>
      </c>
      <c r="P12" s="105">
        <v>0</v>
      </c>
      <c r="Q12" s="105">
        <v>0</v>
      </c>
      <c r="R12" s="105">
        <v>0</v>
      </c>
      <c r="S12" s="105">
        <v>0</v>
      </c>
      <c r="T12" s="105">
        <v>0</v>
      </c>
      <c r="U12" s="105">
        <f>+SUM(Tabla1[[#This Row],[IVA 21%]:[IVA 27%]])</f>
        <v>0</v>
      </c>
      <c r="V12" s="10">
        <f>+SUM(Tabla1[[#This Row],[Neto]:[Impuestos Internos / Otros Tributos]])</f>
        <v>12000</v>
      </c>
      <c r="W12" s="10">
        <f>+Tabla1[[#This Row],[Total]]</f>
        <v>12000</v>
      </c>
      <c r="X12" s="105"/>
      <c r="Y12" s="119" t="s">
        <v>325</v>
      </c>
      <c r="Z12" s="119"/>
      <c r="AA12" s="117"/>
      <c r="AB12" s="105"/>
      <c r="AC12" s="104"/>
      <c r="AD12" s="104"/>
      <c r="AE12" s="104"/>
      <c r="AF12" s="104"/>
      <c r="AG12" s="104"/>
      <c r="AH12" s="105"/>
      <c r="AI12" s="104"/>
      <c r="AJ12" s="188"/>
    </row>
    <row r="13" spans="1:38" ht="13.95" hidden="1" customHeight="1" x14ac:dyDescent="0.3">
      <c r="A13" s="8" t="s">
        <v>496</v>
      </c>
      <c r="B13" s="53">
        <v>45502</v>
      </c>
      <c r="C13" s="12" t="s">
        <v>26</v>
      </c>
      <c r="D13" s="8" t="s">
        <v>58</v>
      </c>
      <c r="E13" s="9" t="s">
        <v>37</v>
      </c>
      <c r="F13" s="9" t="s">
        <v>665</v>
      </c>
      <c r="G13" s="4" t="s">
        <v>661</v>
      </c>
      <c r="H13" s="4">
        <v>20203998091</v>
      </c>
      <c r="I13" s="4" t="s">
        <v>142</v>
      </c>
      <c r="J13" s="8" t="s">
        <v>381</v>
      </c>
      <c r="K13" s="173">
        <v>1</v>
      </c>
      <c r="L13" s="10">
        <v>9100</v>
      </c>
      <c r="M13" s="10">
        <f>+Tabla1[[#This Row],[Neto]]*21%</f>
        <v>1911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f>+SUM(Tabla1[[#This Row],[IVA 21%]:[IVA 27%]])</f>
        <v>1911</v>
      </c>
      <c r="V13" s="10">
        <f>+SUM(Tabla1[[#This Row],[Neto]:[Impuestos Internos / Otros Tributos]])</f>
        <v>11011</v>
      </c>
      <c r="W13" s="10">
        <f>+Tabla1[[#This Row],[Total]]</f>
        <v>11011</v>
      </c>
      <c r="X13" s="10"/>
      <c r="Y13" s="49" t="s">
        <v>324</v>
      </c>
      <c r="AA13" s="109"/>
      <c r="AJ13" s="188"/>
    </row>
    <row r="14" spans="1:38" ht="13.95" hidden="1" customHeight="1" x14ac:dyDescent="0.3">
      <c r="A14" s="8" t="s">
        <v>318</v>
      </c>
      <c r="B14" s="53">
        <v>45505</v>
      </c>
      <c r="C14" s="12" t="s">
        <v>26</v>
      </c>
      <c r="D14" s="8" t="s">
        <v>58</v>
      </c>
      <c r="E14" s="9" t="s">
        <v>37</v>
      </c>
      <c r="F14" s="9" t="s">
        <v>333</v>
      </c>
      <c r="G14" s="4" t="s">
        <v>155</v>
      </c>
      <c r="H14" s="4">
        <v>30715721461</v>
      </c>
      <c r="I14" s="4" t="s">
        <v>334</v>
      </c>
      <c r="J14" s="8" t="s">
        <v>381</v>
      </c>
      <c r="K14" s="173">
        <v>1</v>
      </c>
      <c r="L14" s="10">
        <v>45000</v>
      </c>
      <c r="M14" s="10">
        <f>+Tabla1[[#This Row],[Neto]]*21%</f>
        <v>9450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f>+SUM(Tabla1[[#This Row],[IVA 21%]:[IVA 27%]])</f>
        <v>9450</v>
      </c>
      <c r="V14" s="10">
        <f>+SUM(Tabla1[[#This Row],[Neto]:[Impuestos Internos / Otros Tributos]])</f>
        <v>54450</v>
      </c>
      <c r="W14" s="10">
        <v>54450</v>
      </c>
      <c r="X14" s="10"/>
      <c r="Y14" s="14" t="s">
        <v>324</v>
      </c>
      <c r="Z14" s="14"/>
      <c r="AA14" s="109">
        <v>45570</v>
      </c>
      <c r="AB14" s="32">
        <f>+Tabla1[[#This Row],[Total a Pagar]]</f>
        <v>54450</v>
      </c>
      <c r="AH14" s="10">
        <v>0</v>
      </c>
      <c r="AJ14" s="188"/>
    </row>
    <row r="15" spans="1:38" ht="13.95" hidden="1" customHeight="1" x14ac:dyDescent="0.3">
      <c r="A15" s="102" t="s">
        <v>318</v>
      </c>
      <c r="B15" s="103">
        <v>45505</v>
      </c>
      <c r="C15" s="118" t="s">
        <v>641</v>
      </c>
      <c r="D15" s="102"/>
      <c r="E15" s="102"/>
      <c r="F15" s="102"/>
      <c r="G15" s="104" t="s">
        <v>787</v>
      </c>
      <c r="H15" s="104"/>
      <c r="I15" s="104" t="s">
        <v>788</v>
      </c>
      <c r="J15" s="102" t="s">
        <v>381</v>
      </c>
      <c r="K15" s="173">
        <v>1</v>
      </c>
      <c r="L15" s="105">
        <v>400000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f>+SUM(Tabla1[[#This Row],[IVA 21%]:[IVA 27%]])</f>
        <v>0</v>
      </c>
      <c r="V15" s="10">
        <f>+SUM(Tabla1[[#This Row],[Neto]:[Impuestos Internos / Otros Tributos]])</f>
        <v>400000</v>
      </c>
      <c r="W15" s="10">
        <f>+Tabla1[[#This Row],[Total]]</f>
        <v>400000</v>
      </c>
      <c r="X15" s="105">
        <v>0</v>
      </c>
      <c r="Y15" s="49" t="s">
        <v>324</v>
      </c>
      <c r="AA15" s="117">
        <v>45602</v>
      </c>
      <c r="AB15" s="105">
        <v>0</v>
      </c>
      <c r="AC15" s="104"/>
      <c r="AD15" s="104"/>
      <c r="AE15" s="104"/>
      <c r="AF15" s="104"/>
      <c r="AG15" s="104"/>
      <c r="AH15" s="120">
        <f>+Tabla1[[#This Row],[Total a Pagar]]</f>
        <v>400000</v>
      </c>
      <c r="AI15" s="104"/>
      <c r="AJ15" s="188"/>
    </row>
    <row r="16" spans="1:38" ht="13.95" hidden="1" customHeight="1" x14ac:dyDescent="0.3">
      <c r="A16" s="8" t="s">
        <v>318</v>
      </c>
      <c r="B16" s="53">
        <v>45506</v>
      </c>
      <c r="C16" s="12" t="s">
        <v>26</v>
      </c>
      <c r="D16" s="8" t="s">
        <v>58</v>
      </c>
      <c r="E16" s="9" t="s">
        <v>32</v>
      </c>
      <c r="F16" s="9" t="s">
        <v>336</v>
      </c>
      <c r="G16" s="4" t="s">
        <v>282</v>
      </c>
      <c r="H16" s="4">
        <v>30714721301</v>
      </c>
      <c r="I16" s="4" t="s">
        <v>347</v>
      </c>
      <c r="J16" s="8" t="s">
        <v>381</v>
      </c>
      <c r="K16" s="173">
        <v>1</v>
      </c>
      <c r="L16" s="10">
        <v>1419603.79</v>
      </c>
      <c r="M16" s="10">
        <f>+Tabla1[[#This Row],[Neto]]*21%</f>
        <v>298116.79589999997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+Tabla1[[#This Row],[Neto]]*3.6%</f>
        <v>51105.736440000008</v>
      </c>
      <c r="T16" s="10">
        <v>0</v>
      </c>
      <c r="U16" s="10">
        <f>+SUM(Tabla1[[#This Row],[IVA 21%]:[IVA 27%]])</f>
        <v>298116.79589999997</v>
      </c>
      <c r="V16" s="10">
        <f>+SUM(Tabla1[[#This Row],[Neto]:[Impuestos Internos / Otros Tributos]])</f>
        <v>1768826.32234</v>
      </c>
      <c r="W16" s="10">
        <f>+Tabla1[[#This Row],[Total]]</f>
        <v>1768826.32234</v>
      </c>
      <c r="X16" s="10">
        <v>23912.080000000002</v>
      </c>
      <c r="Y16" s="10" t="s">
        <v>324</v>
      </c>
      <c r="Z16" s="10"/>
      <c r="AA16" s="109">
        <v>45570</v>
      </c>
      <c r="AB16" s="32">
        <f>+Tabla1[[#This Row],[Total a Pagar]]-Tabla1[[#This Row],[SICORE]]</f>
        <v>1744914.2423399999</v>
      </c>
      <c r="AH16" s="10">
        <v>0</v>
      </c>
      <c r="AJ16" s="188"/>
    </row>
    <row r="17" spans="1:36" ht="13.95" hidden="1" customHeight="1" x14ac:dyDescent="0.3">
      <c r="A17" s="36" t="s">
        <v>318</v>
      </c>
      <c r="B17" s="55">
        <v>45506</v>
      </c>
      <c r="C17" s="37" t="s">
        <v>26</v>
      </c>
      <c r="D17" s="36" t="s">
        <v>58</v>
      </c>
      <c r="E17" s="45" t="s">
        <v>32</v>
      </c>
      <c r="F17" s="45" t="s">
        <v>472</v>
      </c>
      <c r="G17" s="38" t="s">
        <v>270</v>
      </c>
      <c r="H17" s="38">
        <v>33710842499</v>
      </c>
      <c r="I17" s="38" t="s">
        <v>142</v>
      </c>
      <c r="J17" s="36" t="s">
        <v>381</v>
      </c>
      <c r="K17" s="173">
        <v>1</v>
      </c>
      <c r="L17" s="39">
        <v>94314.05</v>
      </c>
      <c r="M17" s="39">
        <f>+Tabla1[[#This Row],[Neto]]*21%</f>
        <v>19805.950499999999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f>+SUM(Tabla1[[#This Row],[IVA 21%]:[IVA 27%]])</f>
        <v>19805.950499999999</v>
      </c>
      <c r="V17" s="39">
        <f>+SUM(Tabla1[[#This Row],[Neto]:[Impuestos Internos / Otros Tributos]])</f>
        <v>114120.00049999999</v>
      </c>
      <c r="W17" s="39">
        <f>+Tabla1[[#This Row],[Total]]</f>
        <v>114120.00049999999</v>
      </c>
      <c r="X17" s="39"/>
      <c r="Y17" s="10" t="s">
        <v>325</v>
      </c>
      <c r="Z17" s="10"/>
      <c r="AA17" s="107"/>
      <c r="AB17" s="39"/>
      <c r="AC17" s="38"/>
      <c r="AD17" s="38"/>
      <c r="AE17" s="38"/>
      <c r="AF17" s="38"/>
      <c r="AG17" s="38"/>
      <c r="AH17" s="39"/>
      <c r="AI17" s="38"/>
      <c r="AJ17" s="188"/>
    </row>
    <row r="18" spans="1:36" ht="13.95" hidden="1" customHeight="1" x14ac:dyDescent="0.3">
      <c r="A18" s="8" t="s">
        <v>318</v>
      </c>
      <c r="B18" s="53">
        <v>45506</v>
      </c>
      <c r="C18" s="29" t="s">
        <v>26</v>
      </c>
      <c r="D18" s="28" t="s">
        <v>58</v>
      </c>
      <c r="E18" s="9" t="s">
        <v>74</v>
      </c>
      <c r="F18" s="9" t="s">
        <v>873</v>
      </c>
      <c r="G18" s="4" t="s">
        <v>962</v>
      </c>
      <c r="H18" s="4">
        <v>20126068450</v>
      </c>
      <c r="I18" s="4" t="s">
        <v>384</v>
      </c>
      <c r="J18" s="8" t="s">
        <v>381</v>
      </c>
      <c r="K18" s="173">
        <v>1</v>
      </c>
      <c r="L18" s="10">
        <v>476500</v>
      </c>
      <c r="M18" s="10">
        <f>+Tabla1[[#This Row],[Neto]]*21%</f>
        <v>100065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f>+Tabla1[[#This Row],[Neto]]*3.6%</f>
        <v>17154.000000000004</v>
      </c>
      <c r="T18" s="10">
        <f>+Tabla1[[#This Row],[Neto]]*2.5%</f>
        <v>11912.5</v>
      </c>
      <c r="U18" s="10">
        <f>+SUM(Tabla1[[#This Row],[IVA 21%]:[IVA 27%]])</f>
        <v>100065</v>
      </c>
      <c r="V18" s="10">
        <f>+SUM(Tabla1[[#This Row],[Neto]:[Impuestos Internos / Otros Tributos]])</f>
        <v>605631.5</v>
      </c>
      <c r="W18" s="10">
        <f>+Tabla1[[#This Row],[Total]]</f>
        <v>605631.5</v>
      </c>
      <c r="X18" s="10">
        <v>0</v>
      </c>
      <c r="Y18" s="49" t="s">
        <v>324</v>
      </c>
      <c r="AA18" s="109">
        <v>45555</v>
      </c>
      <c r="AB18" s="32">
        <f>+Tabla1[[#This Row],[Total a Pagar]]</f>
        <v>605631.5</v>
      </c>
      <c r="AH18" s="10">
        <v>0</v>
      </c>
      <c r="AJ18" s="188"/>
    </row>
    <row r="19" spans="1:36" ht="13.95" hidden="1" customHeight="1" x14ac:dyDescent="0.3">
      <c r="A19" s="8" t="s">
        <v>318</v>
      </c>
      <c r="B19" s="53">
        <v>45507</v>
      </c>
      <c r="C19" s="12" t="s">
        <v>26</v>
      </c>
      <c r="D19" s="8" t="s">
        <v>58</v>
      </c>
      <c r="E19" s="9" t="s">
        <v>151</v>
      </c>
      <c r="F19" s="9" t="s">
        <v>610</v>
      </c>
      <c r="G19" s="4" t="s">
        <v>360</v>
      </c>
      <c r="H19" s="4">
        <v>30716939762</v>
      </c>
      <c r="I19" s="4" t="s">
        <v>62</v>
      </c>
      <c r="J19" s="8" t="s">
        <v>381</v>
      </c>
      <c r="K19" s="173">
        <v>1</v>
      </c>
      <c r="L19" s="10">
        <v>61169.919999999998</v>
      </c>
      <c r="M19" s="10">
        <f>+Tabla1[[#This Row],[Neto]]*21%</f>
        <v>12845.683199999999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f>+SUM(Tabla1[[#This Row],[IVA 21%]:[IVA 27%]])</f>
        <v>12845.683199999999</v>
      </c>
      <c r="V19" s="10">
        <f>+SUM(Tabla1[[#This Row],[Neto]:[Impuestos Internos / Otros Tributos]])</f>
        <v>74015.603199999998</v>
      </c>
      <c r="W19" s="10">
        <f>+Tabla1[[#This Row],[Total]]</f>
        <v>74015.603199999998</v>
      </c>
      <c r="X19" s="10">
        <v>0</v>
      </c>
      <c r="Y19" s="10" t="s">
        <v>324</v>
      </c>
      <c r="Z19" s="10"/>
      <c r="AA19" s="109">
        <v>45588</v>
      </c>
      <c r="AB19" s="32">
        <f>+Tabla1[[#This Row],[Total a Pagar]]</f>
        <v>74015.603199999998</v>
      </c>
      <c r="AH19" s="10">
        <v>0</v>
      </c>
      <c r="AJ19" s="188"/>
    </row>
    <row r="20" spans="1:36" ht="13.95" hidden="1" customHeight="1" x14ac:dyDescent="0.3">
      <c r="A20" s="102" t="s">
        <v>318</v>
      </c>
      <c r="B20" s="103">
        <v>45510</v>
      </c>
      <c r="C20" s="12" t="s">
        <v>26</v>
      </c>
      <c r="D20" s="8" t="s">
        <v>27</v>
      </c>
      <c r="E20" s="9" t="s">
        <v>32</v>
      </c>
      <c r="F20" s="9" t="s">
        <v>801</v>
      </c>
      <c r="G20" s="4" t="s">
        <v>793</v>
      </c>
      <c r="H20" s="4">
        <v>20139171927</v>
      </c>
      <c r="I20" s="4" t="s">
        <v>802</v>
      </c>
      <c r="J20" s="8" t="s">
        <v>381</v>
      </c>
      <c r="K20" s="173">
        <v>1</v>
      </c>
      <c r="L20" s="105">
        <v>12000</v>
      </c>
      <c r="M20" s="105">
        <v>0</v>
      </c>
      <c r="N20" s="105">
        <v>0</v>
      </c>
      <c r="O20" s="105">
        <v>0</v>
      </c>
      <c r="P20" s="105">
        <v>0</v>
      </c>
      <c r="Q20" s="105">
        <v>0</v>
      </c>
      <c r="R20" s="105">
        <v>0</v>
      </c>
      <c r="S20" s="105">
        <v>0</v>
      </c>
      <c r="T20" s="105">
        <v>0</v>
      </c>
      <c r="U20" s="105">
        <f>+SUM(Tabla1[[#This Row],[IVA 21%]:[IVA 27%]])</f>
        <v>0</v>
      </c>
      <c r="V20" s="10">
        <f>+SUM(Tabla1[[#This Row],[Neto]:[Impuestos Internos / Otros Tributos]])</f>
        <v>12000</v>
      </c>
      <c r="W20" s="10">
        <f>+Tabla1[[#This Row],[Total]]</f>
        <v>12000</v>
      </c>
      <c r="X20" s="105"/>
      <c r="Y20" s="119" t="s">
        <v>325</v>
      </c>
      <c r="Z20" s="119"/>
      <c r="AA20" s="117"/>
      <c r="AB20" s="105"/>
      <c r="AC20" s="104"/>
      <c r="AD20" s="104"/>
      <c r="AE20" s="104"/>
      <c r="AF20" s="104"/>
      <c r="AG20" s="104"/>
      <c r="AH20" s="105"/>
      <c r="AI20" s="104"/>
      <c r="AJ20" s="188"/>
    </row>
    <row r="21" spans="1:36" ht="13.95" hidden="1" customHeight="1" x14ac:dyDescent="0.3">
      <c r="A21" s="8" t="s">
        <v>318</v>
      </c>
      <c r="B21" s="53">
        <v>45511</v>
      </c>
      <c r="C21" s="12" t="s">
        <v>26</v>
      </c>
      <c r="D21" s="8" t="s">
        <v>58</v>
      </c>
      <c r="E21" s="9" t="s">
        <v>151</v>
      </c>
      <c r="F21" s="9" t="s">
        <v>506</v>
      </c>
      <c r="G21" s="4" t="s">
        <v>153</v>
      </c>
      <c r="H21" s="4">
        <v>20233929035</v>
      </c>
      <c r="I21" s="4" t="s">
        <v>87</v>
      </c>
      <c r="J21" s="8" t="s">
        <v>381</v>
      </c>
      <c r="K21" s="173">
        <v>1</v>
      </c>
      <c r="L21" s="10">
        <v>220978.33</v>
      </c>
      <c r="M21" s="10">
        <f>+Tabla1[[#This Row],[Neto]]*21%</f>
        <v>46405.449299999993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f>+SUM(Tabla1[[#This Row],[IVA 21%]:[IVA 27%]])</f>
        <v>46405.449299999993</v>
      </c>
      <c r="V21" s="10">
        <f>+SUM(Tabla1[[#This Row],[Neto]:[Impuestos Internos / Otros Tributos]])</f>
        <v>267383.77929999999</v>
      </c>
      <c r="W21" s="10">
        <f>+Tabla1[[#This Row],[Total]]</f>
        <v>267383.77929999999</v>
      </c>
      <c r="X21" s="10">
        <v>0</v>
      </c>
      <c r="Y21" s="10" t="s">
        <v>325</v>
      </c>
      <c r="Z21" s="10"/>
      <c r="AA21" s="109">
        <v>45608</v>
      </c>
      <c r="AB21" s="10">
        <f>+Tabla1[[#This Row],[Total a Pagar]]-Tabla1[[#This Row],[SICORE]]</f>
        <v>267383.77929999999</v>
      </c>
      <c r="AJ21" s="188"/>
    </row>
    <row r="22" spans="1:36" ht="13.95" hidden="1" customHeight="1" x14ac:dyDescent="0.3">
      <c r="A22" s="8" t="s">
        <v>318</v>
      </c>
      <c r="B22" s="53">
        <v>45512</v>
      </c>
      <c r="C22" s="12" t="s">
        <v>26</v>
      </c>
      <c r="D22" s="8" t="s">
        <v>27</v>
      </c>
      <c r="E22" s="9" t="s">
        <v>37</v>
      </c>
      <c r="F22" s="9" t="s">
        <v>322</v>
      </c>
      <c r="G22" s="4" t="s">
        <v>320</v>
      </c>
      <c r="H22" s="4">
        <v>20222549788</v>
      </c>
      <c r="I22" s="4" t="s">
        <v>326</v>
      </c>
      <c r="J22" s="8" t="s">
        <v>381</v>
      </c>
      <c r="K22" s="173">
        <v>1</v>
      </c>
      <c r="L22" s="10">
        <v>227256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f>+SUM(Tabla1[[#This Row],[IVA 21%]:[IVA 27%]])</f>
        <v>0</v>
      </c>
      <c r="V22" s="10">
        <f>+SUM(Tabla1[[#This Row],[Neto]:[Impuestos Internos / Otros Tributos]])</f>
        <v>227256</v>
      </c>
      <c r="W22" s="10">
        <f>+Tabla1[[#This Row],[Total]]</f>
        <v>227256</v>
      </c>
      <c r="X22" s="10"/>
      <c r="Y22" s="14" t="s">
        <v>324</v>
      </c>
      <c r="Z22" s="14"/>
      <c r="AA22" s="109">
        <v>45568</v>
      </c>
      <c r="AB22" s="32">
        <f>+Tabla1[[#This Row],[Total a Pagar]]</f>
        <v>227256</v>
      </c>
      <c r="AH22" s="10">
        <v>0</v>
      </c>
      <c r="AJ22" s="188"/>
    </row>
    <row r="23" spans="1:36" ht="13.95" hidden="1" customHeight="1" x14ac:dyDescent="0.3">
      <c r="A23" s="8" t="s">
        <v>318</v>
      </c>
      <c r="B23" s="53">
        <v>45516</v>
      </c>
      <c r="C23" s="12" t="s">
        <v>26</v>
      </c>
      <c r="D23" s="8" t="s">
        <v>58</v>
      </c>
      <c r="E23" s="9" t="s">
        <v>32</v>
      </c>
      <c r="F23" s="9" t="s">
        <v>350</v>
      </c>
      <c r="G23" s="4" t="s">
        <v>352</v>
      </c>
      <c r="H23" s="4">
        <v>30709932361</v>
      </c>
      <c r="I23" s="4" t="s">
        <v>351</v>
      </c>
      <c r="J23" s="8" t="s">
        <v>381</v>
      </c>
      <c r="K23" s="173">
        <v>1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3150000</v>
      </c>
      <c r="R23" s="10">
        <v>0</v>
      </c>
      <c r="S23" s="10">
        <v>0</v>
      </c>
      <c r="T23" s="10">
        <v>0</v>
      </c>
      <c r="U23" s="10">
        <f>+SUM(Tabla1[[#This Row],[IVA 21%]:[IVA 27%]])</f>
        <v>0</v>
      </c>
      <c r="V23" s="10">
        <f>+SUM(Tabla1[[#This Row],[Neto]:[Impuestos Internos / Otros Tributos]])</f>
        <v>3150000</v>
      </c>
      <c r="W23" s="10">
        <f>+Tabla1[[#This Row],[Total]]</f>
        <v>3150000</v>
      </c>
      <c r="X23" s="10">
        <v>58520</v>
      </c>
      <c r="Y23" s="10" t="s">
        <v>324</v>
      </c>
      <c r="Z23" s="10"/>
      <c r="AA23" s="109">
        <v>45570</v>
      </c>
      <c r="AB23" s="32">
        <f>+Tabla1[[#This Row],[Total a Pagar]]-Tabla1[[#This Row],[SICORE]]</f>
        <v>3091480</v>
      </c>
      <c r="AH23" s="10">
        <v>0</v>
      </c>
      <c r="AJ23" s="188"/>
    </row>
    <row r="24" spans="1:36" ht="13.95" hidden="1" customHeight="1" x14ac:dyDescent="0.3">
      <c r="A24" s="36" t="s">
        <v>318</v>
      </c>
      <c r="B24" s="55">
        <v>45518</v>
      </c>
      <c r="C24" s="37" t="s">
        <v>26</v>
      </c>
      <c r="D24" s="36" t="s">
        <v>58</v>
      </c>
      <c r="E24" s="45" t="s">
        <v>32</v>
      </c>
      <c r="F24" s="45" t="s">
        <v>471</v>
      </c>
      <c r="G24" s="38" t="s">
        <v>270</v>
      </c>
      <c r="H24" s="38">
        <v>33710842499</v>
      </c>
      <c r="I24" s="38" t="s">
        <v>142</v>
      </c>
      <c r="J24" s="36" t="s">
        <v>381</v>
      </c>
      <c r="K24" s="173">
        <v>1</v>
      </c>
      <c r="L24" s="39">
        <v>217320.45</v>
      </c>
      <c r="M24" s="39">
        <f>147669.48*21%</f>
        <v>31010.590800000002</v>
      </c>
      <c r="N24" s="39">
        <f>18030.98*10.5%</f>
        <v>1893.2529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f>+SUM(Tabla1[[#This Row],[IVA 21%]:[IVA 27%]])</f>
        <v>32903.843700000005</v>
      </c>
      <c r="V24" s="10">
        <f>+SUM(Tabla1[[#This Row],[Neto]:[Impuestos Internos / Otros Tributos]])</f>
        <v>250224.29370000001</v>
      </c>
      <c r="W24" s="39">
        <f>+Tabla1[[#This Row],[Total]]</f>
        <v>250224.29370000001</v>
      </c>
      <c r="X24" s="39"/>
      <c r="Y24" s="10" t="s">
        <v>325</v>
      </c>
      <c r="Z24" s="10"/>
      <c r="AA24" s="107"/>
      <c r="AB24" s="39"/>
      <c r="AC24" s="38"/>
      <c r="AD24" s="38"/>
      <c r="AE24" s="38"/>
      <c r="AF24" s="38"/>
      <c r="AG24" s="38"/>
      <c r="AH24" s="39"/>
      <c r="AI24" s="38"/>
      <c r="AJ24" s="188"/>
    </row>
    <row r="25" spans="1:36" ht="13.95" hidden="1" customHeight="1" x14ac:dyDescent="0.3">
      <c r="A25" s="8" t="s">
        <v>318</v>
      </c>
      <c r="B25" s="53">
        <v>45520</v>
      </c>
      <c r="C25" s="12" t="s">
        <v>26</v>
      </c>
      <c r="D25" s="8" t="s">
        <v>27</v>
      </c>
      <c r="E25" s="9" t="s">
        <v>28</v>
      </c>
      <c r="F25" s="9" t="s">
        <v>365</v>
      </c>
      <c r="G25" s="4" t="s">
        <v>366</v>
      </c>
      <c r="H25" s="4">
        <v>20283782280</v>
      </c>
      <c r="I25" s="4" t="s">
        <v>416</v>
      </c>
      <c r="J25" s="8" t="s">
        <v>381</v>
      </c>
      <c r="K25" s="173">
        <v>1</v>
      </c>
      <c r="L25" s="10">
        <v>225000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f>+SUM(Tabla1[[#This Row],[IVA 21%]:[IVA 27%]])</f>
        <v>0</v>
      </c>
      <c r="V25" s="10">
        <f>+SUM(Tabla1[[#This Row],[Neto]:[Impuestos Internos / Otros Tributos]])</f>
        <v>225000</v>
      </c>
      <c r="W25" s="10">
        <f>+Tabla1[[#This Row],[Total]]</f>
        <v>225000</v>
      </c>
      <c r="X25" s="10">
        <v>0</v>
      </c>
      <c r="Y25" s="10" t="s">
        <v>324</v>
      </c>
      <c r="Z25" s="10"/>
      <c r="AA25" s="109">
        <v>45544</v>
      </c>
      <c r="AB25" s="32">
        <f>+Tabla1[[#This Row],[Total a Pagar]]</f>
        <v>225000</v>
      </c>
      <c r="AH25" s="10">
        <v>0</v>
      </c>
      <c r="AJ25" s="188"/>
    </row>
    <row r="26" spans="1:36" ht="13.95" hidden="1" customHeight="1" x14ac:dyDescent="0.3">
      <c r="A26" s="8" t="s">
        <v>318</v>
      </c>
      <c r="B26" s="53">
        <v>45524</v>
      </c>
      <c r="C26" s="12" t="s">
        <v>410</v>
      </c>
      <c r="D26" s="8" t="s">
        <v>58</v>
      </c>
      <c r="E26" s="9" t="s">
        <v>37</v>
      </c>
      <c r="F26" s="9" t="s">
        <v>414</v>
      </c>
      <c r="G26" s="4" t="s">
        <v>412</v>
      </c>
      <c r="H26" s="4">
        <v>30629233144</v>
      </c>
      <c r="I26" s="4" t="s">
        <v>415</v>
      </c>
      <c r="J26" s="8" t="s">
        <v>381</v>
      </c>
      <c r="K26" s="173">
        <v>1</v>
      </c>
      <c r="L26" s="10">
        <v>700000</v>
      </c>
      <c r="M26" s="10">
        <v>0</v>
      </c>
      <c r="N26" s="10">
        <f>+Tabla1[[#This Row],[Neto]]*10.5%</f>
        <v>73500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f>+SUM(Tabla1[[#This Row],[IVA 21%]:[IVA 27%]])</f>
        <v>73500</v>
      </c>
      <c r="V26" s="10">
        <f>+SUM(Tabla1[[#This Row],[Neto]:[Impuestos Internos / Otros Tributos]])</f>
        <v>773500</v>
      </c>
      <c r="W26" s="10">
        <f>+Tabla1[[#This Row],[Total]]</f>
        <v>773500</v>
      </c>
      <c r="X26" s="10">
        <f>+(Tabla1[[#This Row],[Neto]]-224000)*2%</f>
        <v>9520</v>
      </c>
      <c r="Y26" s="14" t="s">
        <v>324</v>
      </c>
      <c r="Z26" s="14"/>
      <c r="AA26" s="109">
        <v>45589</v>
      </c>
      <c r="AB26" s="32">
        <f>+Tabla1[[#This Row],[Total a Pagar]]-Tabla1[[#This Row],[SICORE]]</f>
        <v>763980</v>
      </c>
      <c r="AH26" s="10">
        <v>0</v>
      </c>
      <c r="AJ26" s="188"/>
    </row>
    <row r="27" spans="1:36" ht="13.95" hidden="1" customHeight="1" x14ac:dyDescent="0.3">
      <c r="A27" s="8" t="s">
        <v>318</v>
      </c>
      <c r="B27" s="53">
        <v>45524</v>
      </c>
      <c r="C27" s="12" t="s">
        <v>26</v>
      </c>
      <c r="D27" s="8" t="s">
        <v>58</v>
      </c>
      <c r="E27" s="9" t="s">
        <v>151</v>
      </c>
      <c r="F27" s="9" t="s">
        <v>611</v>
      </c>
      <c r="G27" s="4" t="s">
        <v>360</v>
      </c>
      <c r="H27" s="4">
        <v>30716939762</v>
      </c>
      <c r="I27" s="4" t="s">
        <v>62</v>
      </c>
      <c r="J27" s="8" t="s">
        <v>381</v>
      </c>
      <c r="K27" s="173">
        <v>1</v>
      </c>
      <c r="L27" s="10">
        <v>60048</v>
      </c>
      <c r="M27" s="10">
        <f>+Tabla1[[#This Row],[Neto]]*21%</f>
        <v>12610.08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f>+SUM(Tabla1[[#This Row],[IVA 21%]:[IVA 27%]])</f>
        <v>12610.08</v>
      </c>
      <c r="V27" s="10">
        <f>+SUM(Tabla1[[#This Row],[Neto]:[Impuestos Internos / Otros Tributos]])</f>
        <v>72658.080000000002</v>
      </c>
      <c r="W27" s="10">
        <f>+Tabla1[[#This Row],[Total]]</f>
        <v>72658.080000000002</v>
      </c>
      <c r="X27" s="10">
        <v>0</v>
      </c>
      <c r="Y27" s="10" t="s">
        <v>324</v>
      </c>
      <c r="Z27" s="10"/>
      <c r="AA27" s="109">
        <v>45588</v>
      </c>
      <c r="AB27" s="32">
        <f>+Tabla1[[#This Row],[Total a Pagar]]</f>
        <v>72658.080000000002</v>
      </c>
      <c r="AH27" s="10">
        <v>0</v>
      </c>
      <c r="AJ27" s="188"/>
    </row>
    <row r="28" spans="1:36" ht="13.95" hidden="1" customHeight="1" x14ac:dyDescent="0.3">
      <c r="A28" s="8" t="s">
        <v>318</v>
      </c>
      <c r="B28" s="53">
        <v>45525</v>
      </c>
      <c r="C28" s="12" t="s">
        <v>26</v>
      </c>
      <c r="D28" s="8" t="s">
        <v>58</v>
      </c>
      <c r="E28" s="9" t="s">
        <v>28</v>
      </c>
      <c r="F28" s="9" t="s">
        <v>367</v>
      </c>
      <c r="G28" s="4" t="s">
        <v>368</v>
      </c>
      <c r="H28" s="4">
        <v>30717419053</v>
      </c>
      <c r="I28" s="4" t="s">
        <v>369</v>
      </c>
      <c r="J28" s="8" t="s">
        <v>381</v>
      </c>
      <c r="K28" s="173">
        <v>1</v>
      </c>
      <c r="L28" s="10">
        <v>545454.54</v>
      </c>
      <c r="M28" s="10">
        <f>+Tabla1[[#This Row],[Neto]]*21%</f>
        <v>114545.4534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f>+SUM(Tabla1[[#This Row],[IVA 21%]:[IVA 27%]])</f>
        <v>114545.4534</v>
      </c>
      <c r="V28" s="10">
        <f>+SUM(Tabla1[[#This Row],[Neto]:[Impuestos Internos / Otros Tributos]])</f>
        <v>659999.99340000004</v>
      </c>
      <c r="W28" s="10">
        <f>+Tabla1[[#This Row],[Total]]</f>
        <v>659999.99340000004</v>
      </c>
      <c r="X28" s="10">
        <v>0</v>
      </c>
      <c r="Y28" s="10" t="s">
        <v>324</v>
      </c>
      <c r="Z28" s="10"/>
      <c r="AA28" s="109">
        <v>45548</v>
      </c>
      <c r="AB28" s="32">
        <f>+Tabla1[[#This Row],[Total a Pagar]]</f>
        <v>659999.99340000004</v>
      </c>
      <c r="AH28" s="10">
        <v>0</v>
      </c>
      <c r="AJ28" s="188"/>
    </row>
    <row r="29" spans="1:36" ht="13.95" hidden="1" customHeight="1" x14ac:dyDescent="0.3">
      <c r="A29" s="36" t="s">
        <v>318</v>
      </c>
      <c r="B29" s="55">
        <v>45525</v>
      </c>
      <c r="C29" s="37" t="s">
        <v>26</v>
      </c>
      <c r="D29" s="36" t="s">
        <v>58</v>
      </c>
      <c r="E29" s="45" t="s">
        <v>74</v>
      </c>
      <c r="F29" s="9" t="s">
        <v>648</v>
      </c>
      <c r="G29" s="38" t="s">
        <v>445</v>
      </c>
      <c r="H29" s="38">
        <v>30708764236</v>
      </c>
      <c r="I29" s="38" t="s">
        <v>487</v>
      </c>
      <c r="J29" s="36" t="s">
        <v>381</v>
      </c>
      <c r="K29" s="173">
        <v>1</v>
      </c>
      <c r="L29" s="39">
        <v>333843.59999999998</v>
      </c>
      <c r="M29" s="39">
        <f>+Tabla1[[#This Row],[Neto]]*21%</f>
        <v>70107.155999999988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f>+SUM(Tabla1[[#This Row],[IVA 21%]:[IVA 27%]])</f>
        <v>70107.155999999988</v>
      </c>
      <c r="V29" s="10">
        <f>+SUM(Tabla1[[#This Row],[Neto]:[Impuestos Internos / Otros Tributos]])</f>
        <v>403950.75599999994</v>
      </c>
      <c r="W29" s="10">
        <f>+Tabla1[[#This Row],[Total]]</f>
        <v>403950.75599999994</v>
      </c>
      <c r="X29" s="39">
        <f>+Tabla1[[#This Row],[Neto]]*2%</f>
        <v>6676.8719999999994</v>
      </c>
      <c r="Y29" s="10" t="s">
        <v>324</v>
      </c>
      <c r="Z29" s="10"/>
      <c r="AA29" s="107">
        <v>45593</v>
      </c>
      <c r="AB29" s="50">
        <f>+Tabla1[[#This Row],[Total a Pagar]]-Tabla1[[#This Row],[SICORE]]</f>
        <v>397273.88399999996</v>
      </c>
      <c r="AC29" s="38"/>
      <c r="AD29" s="38"/>
      <c r="AE29" s="38"/>
      <c r="AF29" s="38"/>
      <c r="AG29" s="38"/>
      <c r="AH29" s="39">
        <v>0</v>
      </c>
      <c r="AI29" s="38"/>
      <c r="AJ29" s="188"/>
    </row>
    <row r="30" spans="1:36" ht="13.95" hidden="1" customHeight="1" x14ac:dyDescent="0.3">
      <c r="A30" s="36" t="s">
        <v>318</v>
      </c>
      <c r="B30" s="55">
        <v>45525</v>
      </c>
      <c r="C30" s="37" t="s">
        <v>26</v>
      </c>
      <c r="D30" s="36" t="s">
        <v>58</v>
      </c>
      <c r="E30" s="45" t="s">
        <v>74</v>
      </c>
      <c r="F30" s="45" t="s">
        <v>495</v>
      </c>
      <c r="G30" s="38" t="s">
        <v>445</v>
      </c>
      <c r="H30" s="38">
        <v>30708764236</v>
      </c>
      <c r="I30" s="38" t="s">
        <v>487</v>
      </c>
      <c r="J30" s="36" t="s">
        <v>381</v>
      </c>
      <c r="K30" s="173">
        <v>1</v>
      </c>
      <c r="L30" s="39">
        <v>667687.19999999995</v>
      </c>
      <c r="M30" s="39">
        <f>+Tabla1[[#This Row],[Neto]]*21%</f>
        <v>140214.31199999998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f>+SUM(Tabla1[[#This Row],[IVA 21%]:[IVA 27%]])</f>
        <v>140214.31199999998</v>
      </c>
      <c r="V30" s="10">
        <f>+SUM(Tabla1[[#This Row],[Neto]:[Impuestos Internos / Otros Tributos]])</f>
        <v>807901.51199999987</v>
      </c>
      <c r="W30" s="10">
        <f>+Tabla1[[#This Row],[Total]]</f>
        <v>807901.51199999987</v>
      </c>
      <c r="X30" s="39">
        <f>+Tabla1[[#This Row],[Neto]]*2%</f>
        <v>13353.743999999999</v>
      </c>
      <c r="Y30" s="10" t="s">
        <v>324</v>
      </c>
      <c r="Z30" s="10"/>
      <c r="AA30" s="107">
        <v>45593</v>
      </c>
      <c r="AB30" s="50">
        <f>+Tabla1[[#This Row],[Total a Pagar]]-Tabla1[[#This Row],[SICORE]]</f>
        <v>794547.76799999992</v>
      </c>
      <c r="AC30" s="38"/>
      <c r="AD30" s="38"/>
      <c r="AE30" s="38"/>
      <c r="AF30" s="38"/>
      <c r="AG30" s="38"/>
      <c r="AH30" s="39">
        <v>0</v>
      </c>
      <c r="AI30" s="38"/>
      <c r="AJ30" s="188"/>
    </row>
    <row r="31" spans="1:36" ht="13.95" hidden="1" customHeight="1" x14ac:dyDescent="0.3">
      <c r="A31" s="36" t="s">
        <v>318</v>
      </c>
      <c r="B31" s="55">
        <v>45525</v>
      </c>
      <c r="C31" s="37" t="s">
        <v>26</v>
      </c>
      <c r="D31" s="36" t="s">
        <v>58</v>
      </c>
      <c r="E31" s="45" t="s">
        <v>74</v>
      </c>
      <c r="F31" s="9" t="s">
        <v>494</v>
      </c>
      <c r="G31" s="38" t="s">
        <v>445</v>
      </c>
      <c r="H31" s="38">
        <v>30708764236</v>
      </c>
      <c r="I31" s="38" t="s">
        <v>487</v>
      </c>
      <c r="J31" s="36" t="s">
        <v>381</v>
      </c>
      <c r="K31" s="173">
        <v>1</v>
      </c>
      <c r="L31" s="39">
        <v>667687.19999999995</v>
      </c>
      <c r="M31" s="39">
        <f>+Tabla1[[#This Row],[Neto]]*21%</f>
        <v>140214.31199999998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f>+SUM(Tabla1[[#This Row],[IVA 21%]:[IVA 27%]])</f>
        <v>140214.31199999998</v>
      </c>
      <c r="V31" s="10">
        <f>+SUM(Tabla1[[#This Row],[Neto]:[Impuestos Internos / Otros Tributos]])</f>
        <v>807901.51199999987</v>
      </c>
      <c r="W31" s="10">
        <f>+Tabla1[[#This Row],[Total]]</f>
        <v>807901.51199999987</v>
      </c>
      <c r="X31" s="39">
        <f>+Tabla1[[#This Row],[Neto]]*2%</f>
        <v>13353.743999999999</v>
      </c>
      <c r="Y31" s="10" t="s">
        <v>324</v>
      </c>
      <c r="Z31" s="10"/>
      <c r="AA31" s="107">
        <v>45593</v>
      </c>
      <c r="AB31" s="50">
        <f>+Tabla1[[#This Row],[Total a Pagar]]-Tabla1[[#This Row],[SICORE]]</f>
        <v>794547.76799999992</v>
      </c>
      <c r="AC31" s="38"/>
      <c r="AD31" s="38"/>
      <c r="AE31" s="38"/>
      <c r="AF31" s="38"/>
      <c r="AG31" s="38"/>
      <c r="AH31" s="39">
        <v>0</v>
      </c>
      <c r="AI31" s="38"/>
      <c r="AJ31" s="188"/>
    </row>
    <row r="32" spans="1:36" ht="13.95" hidden="1" customHeight="1" x14ac:dyDescent="0.3">
      <c r="A32" s="36" t="s">
        <v>318</v>
      </c>
      <c r="B32" s="55">
        <v>45525</v>
      </c>
      <c r="C32" s="37" t="s">
        <v>26</v>
      </c>
      <c r="D32" s="36" t="s">
        <v>58</v>
      </c>
      <c r="E32" s="45" t="s">
        <v>74</v>
      </c>
      <c r="F32" s="45" t="s">
        <v>493</v>
      </c>
      <c r="G32" s="38" t="s">
        <v>445</v>
      </c>
      <c r="H32" s="38">
        <v>30708764236</v>
      </c>
      <c r="I32" s="38" t="s">
        <v>487</v>
      </c>
      <c r="J32" s="36" t="s">
        <v>381</v>
      </c>
      <c r="K32" s="173">
        <v>1</v>
      </c>
      <c r="L32" s="39">
        <v>667687.19999999995</v>
      </c>
      <c r="M32" s="39">
        <f>+Tabla1[[#This Row],[Neto]]*21%</f>
        <v>140214.31199999998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f>+SUM(Tabla1[[#This Row],[IVA 21%]:[IVA 27%]])</f>
        <v>140214.31199999998</v>
      </c>
      <c r="V32" s="10">
        <f>+SUM(Tabla1[[#This Row],[Neto]:[Impuestos Internos / Otros Tributos]])</f>
        <v>807901.51199999987</v>
      </c>
      <c r="W32" s="10">
        <f>+Tabla1[[#This Row],[Total]]</f>
        <v>807901.51199999987</v>
      </c>
      <c r="X32" s="39">
        <f>+Tabla1[[#This Row],[Neto]]*2%</f>
        <v>13353.743999999999</v>
      </c>
      <c r="Y32" s="10" t="s">
        <v>324</v>
      </c>
      <c r="Z32" s="10"/>
      <c r="AA32" s="107">
        <v>45593</v>
      </c>
      <c r="AB32" s="50">
        <f>+Tabla1[[#This Row],[Total a Pagar]]-Tabla1[[#This Row],[SICORE]]</f>
        <v>794547.76799999992</v>
      </c>
      <c r="AC32" s="38"/>
      <c r="AD32" s="38"/>
      <c r="AE32" s="38"/>
      <c r="AF32" s="38"/>
      <c r="AG32" s="38"/>
      <c r="AH32" s="39">
        <v>0</v>
      </c>
      <c r="AI32" s="38"/>
      <c r="AJ32" s="188"/>
    </row>
    <row r="33" spans="1:36" ht="13.95" hidden="1" customHeight="1" x14ac:dyDescent="0.3">
      <c r="A33" s="36" t="s">
        <v>318</v>
      </c>
      <c r="B33" s="55">
        <v>45527</v>
      </c>
      <c r="C33" s="37" t="s">
        <v>26</v>
      </c>
      <c r="D33" s="36" t="s">
        <v>58</v>
      </c>
      <c r="E33" s="45" t="s">
        <v>74</v>
      </c>
      <c r="F33" s="45" t="s">
        <v>492</v>
      </c>
      <c r="G33" s="38" t="s">
        <v>445</v>
      </c>
      <c r="H33" s="38">
        <v>30708764236</v>
      </c>
      <c r="I33" s="38" t="s">
        <v>487</v>
      </c>
      <c r="J33" s="36" t="s">
        <v>381</v>
      </c>
      <c r="K33" s="173">
        <v>1</v>
      </c>
      <c r="L33" s="39">
        <v>667687.19999999995</v>
      </c>
      <c r="M33" s="39">
        <f>+Tabla1[[#This Row],[Neto]]*21%</f>
        <v>140214.31199999998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f>+SUM(Tabla1[[#This Row],[IVA 21%]:[IVA 27%]])</f>
        <v>140214.31199999998</v>
      </c>
      <c r="V33" s="10">
        <f>+SUM(Tabla1[[#This Row],[Neto]:[Impuestos Internos / Otros Tributos]])</f>
        <v>807901.51199999987</v>
      </c>
      <c r="W33" s="10">
        <f>+Tabla1[[#This Row],[Total]]</f>
        <v>807901.51199999987</v>
      </c>
      <c r="X33" s="39">
        <f>+Tabla1[[#This Row],[Neto]]*2%</f>
        <v>13353.743999999999</v>
      </c>
      <c r="Y33" s="10" t="s">
        <v>324</v>
      </c>
      <c r="Z33" s="10"/>
      <c r="AA33" s="107">
        <v>45593</v>
      </c>
      <c r="AB33" s="50">
        <f>+Tabla1[[#This Row],[Total a Pagar]]-Tabla1[[#This Row],[SICORE]]</f>
        <v>794547.76799999992</v>
      </c>
      <c r="AC33" s="38"/>
      <c r="AD33" s="38"/>
      <c r="AE33" s="38"/>
      <c r="AF33" s="38"/>
      <c r="AG33" s="38"/>
      <c r="AH33" s="39">
        <v>0</v>
      </c>
      <c r="AI33" s="38"/>
      <c r="AJ33" s="188"/>
    </row>
    <row r="34" spans="1:36" ht="13.95" hidden="1" customHeight="1" x14ac:dyDescent="0.3">
      <c r="A34" s="36" t="s">
        <v>318</v>
      </c>
      <c r="B34" s="55">
        <v>45530</v>
      </c>
      <c r="C34" s="37" t="s">
        <v>26</v>
      </c>
      <c r="D34" s="36" t="s">
        <v>58</v>
      </c>
      <c r="E34" s="45" t="s">
        <v>32</v>
      </c>
      <c r="F34" s="45" t="s">
        <v>470</v>
      </c>
      <c r="G34" s="38" t="s">
        <v>270</v>
      </c>
      <c r="H34" s="38">
        <v>33710842499</v>
      </c>
      <c r="I34" s="38" t="s">
        <v>142</v>
      </c>
      <c r="J34" s="36" t="s">
        <v>381</v>
      </c>
      <c r="K34" s="173">
        <v>1</v>
      </c>
      <c r="L34" s="39">
        <v>74476.86</v>
      </c>
      <c r="M34" s="39">
        <f>+Tabla1[[#This Row],[Neto]]*21%</f>
        <v>15640.140599999999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f>+SUM(Tabla1[[#This Row],[IVA 21%]:[IVA 27%]])</f>
        <v>15640.140599999999</v>
      </c>
      <c r="V34" s="10">
        <f>+SUM(Tabla1[[#This Row],[Neto]:[Impuestos Internos / Otros Tributos]])</f>
        <v>90117.000599999999</v>
      </c>
      <c r="W34" s="39">
        <f>+Tabla1[[#This Row],[Total]]</f>
        <v>90117.000599999999</v>
      </c>
      <c r="X34" s="39"/>
      <c r="Y34" s="10" t="s">
        <v>325</v>
      </c>
      <c r="Z34" s="10"/>
      <c r="AA34" s="107"/>
      <c r="AB34" s="39"/>
      <c r="AC34" s="38"/>
      <c r="AD34" s="38"/>
      <c r="AE34" s="38"/>
      <c r="AF34" s="38"/>
      <c r="AG34" s="38"/>
      <c r="AH34" s="39"/>
      <c r="AI34" s="38"/>
      <c r="AJ34" s="188"/>
    </row>
    <row r="35" spans="1:36" ht="13.95" hidden="1" customHeight="1" x14ac:dyDescent="0.3">
      <c r="A35" s="8" t="s">
        <v>318</v>
      </c>
      <c r="B35" s="53">
        <v>45530</v>
      </c>
      <c r="C35" s="12" t="s">
        <v>26</v>
      </c>
      <c r="D35" s="8" t="s">
        <v>58</v>
      </c>
      <c r="E35" s="9" t="s">
        <v>74</v>
      </c>
      <c r="F35" s="9" t="s">
        <v>816</v>
      </c>
      <c r="G35" s="4" t="s">
        <v>363</v>
      </c>
      <c r="H35" s="4">
        <v>30716688735</v>
      </c>
      <c r="I35" s="4" t="s">
        <v>142</v>
      </c>
      <c r="J35" s="8" t="s">
        <v>381</v>
      </c>
      <c r="K35" s="173">
        <v>1</v>
      </c>
      <c r="L35" s="10">
        <v>41211.57</v>
      </c>
      <c r="M35" s="10">
        <f>+Tabla1[[#This Row],[Neto]]*21%</f>
        <v>8654.4296999999988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f>+SUM(Tabla1[[#This Row],[IVA 21%]:[IVA 27%]])</f>
        <v>8654.4296999999988</v>
      </c>
      <c r="V35" s="10">
        <f>+SUM(Tabla1[[#This Row],[Neto]:[Impuestos Internos / Otros Tributos]])</f>
        <v>49865.9997</v>
      </c>
      <c r="W35" s="10">
        <f>+Tabla1[[#This Row],[Total]]</f>
        <v>49865.9997</v>
      </c>
      <c r="X35" s="10">
        <v>0</v>
      </c>
      <c r="Y35" s="49" t="s">
        <v>324</v>
      </c>
      <c r="AA35" s="109">
        <v>45604</v>
      </c>
      <c r="AB35" s="32">
        <f>+Tabla1[[#This Row],[Total a Pagar]]</f>
        <v>49865.9997</v>
      </c>
      <c r="AH35" s="10">
        <v>0</v>
      </c>
      <c r="AJ35" s="188"/>
    </row>
    <row r="36" spans="1:36" ht="13.95" hidden="1" customHeight="1" x14ac:dyDescent="0.3">
      <c r="A36" s="36" t="s">
        <v>318</v>
      </c>
      <c r="B36" s="55">
        <v>45534</v>
      </c>
      <c r="C36" s="37" t="s">
        <v>26</v>
      </c>
      <c r="D36" s="36" t="s">
        <v>58</v>
      </c>
      <c r="E36" s="45" t="s">
        <v>32</v>
      </c>
      <c r="F36" s="45" t="s">
        <v>469</v>
      </c>
      <c r="G36" s="38" t="s">
        <v>270</v>
      </c>
      <c r="H36" s="38">
        <v>33710842499</v>
      </c>
      <c r="I36" s="38" t="s">
        <v>142</v>
      </c>
      <c r="J36" s="36" t="s">
        <v>381</v>
      </c>
      <c r="K36" s="173">
        <v>1</v>
      </c>
      <c r="L36" s="39">
        <v>104915.68</v>
      </c>
      <c r="M36" s="39">
        <f>+Tabla1[[#This Row],[Neto]]*21%</f>
        <v>22032.292799999999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f>+SUM(Tabla1[[#This Row],[IVA 21%]:[IVA 27%]])</f>
        <v>22032.292799999999</v>
      </c>
      <c r="V36" s="10">
        <f>+SUM(Tabla1[[#This Row],[Neto]:[Impuestos Internos / Otros Tributos]])</f>
        <v>126947.97279999999</v>
      </c>
      <c r="W36" s="39">
        <f>+Tabla1[[#This Row],[Total]]</f>
        <v>126947.97279999999</v>
      </c>
      <c r="X36" s="39"/>
      <c r="Y36" s="10" t="s">
        <v>325</v>
      </c>
      <c r="Z36" s="10"/>
      <c r="AA36" s="107"/>
      <c r="AB36" s="39"/>
      <c r="AC36" s="38"/>
      <c r="AD36" s="38"/>
      <c r="AE36" s="38"/>
      <c r="AF36" s="38"/>
      <c r="AG36" s="38"/>
      <c r="AH36" s="39"/>
      <c r="AI36" s="38"/>
      <c r="AJ36" s="188"/>
    </row>
    <row r="37" spans="1:36" ht="13.95" hidden="1" customHeight="1" x14ac:dyDescent="0.3">
      <c r="A37" s="8" t="s">
        <v>318</v>
      </c>
      <c r="B37" s="53">
        <v>45534</v>
      </c>
      <c r="C37" s="12" t="s">
        <v>26</v>
      </c>
      <c r="D37" s="8" t="s">
        <v>27</v>
      </c>
      <c r="E37" s="9" t="s">
        <v>32</v>
      </c>
      <c r="F37" s="9" t="s">
        <v>180</v>
      </c>
      <c r="G37" s="4" t="s">
        <v>552</v>
      </c>
      <c r="H37" s="4">
        <v>20306364945</v>
      </c>
      <c r="I37" s="4" t="s">
        <v>553</v>
      </c>
      <c r="J37" s="8" t="s">
        <v>381</v>
      </c>
      <c r="K37" s="173">
        <v>1</v>
      </c>
      <c r="L37" s="10">
        <v>5300000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f>+SUM(Tabla1[[#This Row],[IVA 21%]:[IVA 27%]])</f>
        <v>0</v>
      </c>
      <c r="V37" s="10">
        <f>+SUM(Tabla1[[#This Row],[Neto]:[Impuestos Internos / Otros Tributos]])</f>
        <v>5300000</v>
      </c>
      <c r="W37" s="10">
        <f>+Tabla1[[#This Row],[Total]]</f>
        <v>5300000</v>
      </c>
      <c r="X37" s="10">
        <v>0</v>
      </c>
      <c r="Y37" s="14" t="s">
        <v>324</v>
      </c>
      <c r="Z37" s="14"/>
      <c r="AA37" s="109">
        <v>45587</v>
      </c>
      <c r="AB37" s="32">
        <v>2650000</v>
      </c>
      <c r="AH37" s="10">
        <v>0</v>
      </c>
      <c r="AJ37" s="188"/>
    </row>
    <row r="38" spans="1:36" ht="13.95" hidden="1" customHeight="1" x14ac:dyDescent="0.3">
      <c r="A38" s="8" t="s">
        <v>318</v>
      </c>
      <c r="B38" s="53">
        <v>45535</v>
      </c>
      <c r="C38" s="12" t="s">
        <v>26</v>
      </c>
      <c r="D38" s="8" t="s">
        <v>58</v>
      </c>
      <c r="E38" s="9" t="s">
        <v>151</v>
      </c>
      <c r="F38" s="9" t="s">
        <v>348</v>
      </c>
      <c r="G38" s="4" t="s">
        <v>349</v>
      </c>
      <c r="H38" s="4">
        <v>30663625485</v>
      </c>
      <c r="I38" s="4" t="s">
        <v>861</v>
      </c>
      <c r="J38" s="8" t="s">
        <v>381</v>
      </c>
      <c r="K38" s="173">
        <v>1</v>
      </c>
      <c r="L38" s="10">
        <v>1629406.74</v>
      </c>
      <c r="M38" s="10">
        <f>+Tabla1[[#This Row],[Neto]]*21%</f>
        <v>342175.4154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f>+SUM(Tabla1[[#This Row],[IVA 21%]:[IVA 27%]])</f>
        <v>342175.4154</v>
      </c>
      <c r="V38" s="10">
        <f>+SUM(Tabla1[[#This Row],[Neto]:[Impuestos Internos / Otros Tributos]])</f>
        <v>1971582.1554</v>
      </c>
      <c r="W38" s="10">
        <f>+Tabla1[[#This Row],[Total]]</f>
        <v>1971582.1554</v>
      </c>
      <c r="X38" s="10">
        <v>31255.48</v>
      </c>
      <c r="Y38" s="10" t="s">
        <v>324</v>
      </c>
      <c r="Z38" s="10"/>
      <c r="AA38" s="109">
        <v>45570</v>
      </c>
      <c r="AB38" s="32">
        <f>+Tabla1[[#This Row],[Total a Pagar]]-Tabla1[[#This Row],[SICORE]]</f>
        <v>1940326.6754000001</v>
      </c>
      <c r="AH38" s="10">
        <v>0</v>
      </c>
      <c r="AJ38" s="188"/>
    </row>
    <row r="39" spans="1:36" ht="13.95" hidden="1" customHeight="1" x14ac:dyDescent="0.3">
      <c r="A39" s="36" t="s">
        <v>318</v>
      </c>
      <c r="B39" s="55">
        <v>45535</v>
      </c>
      <c r="C39" s="37" t="s">
        <v>26</v>
      </c>
      <c r="D39" s="36" t="s">
        <v>58</v>
      </c>
      <c r="E39" s="45" t="s">
        <v>74</v>
      </c>
      <c r="F39" s="45" t="s">
        <v>491</v>
      </c>
      <c r="G39" s="38" t="s">
        <v>445</v>
      </c>
      <c r="H39" s="38">
        <v>30708764236</v>
      </c>
      <c r="I39" s="38" t="s">
        <v>487</v>
      </c>
      <c r="J39" s="36" t="s">
        <v>381</v>
      </c>
      <c r="K39" s="173">
        <v>1</v>
      </c>
      <c r="L39" s="39">
        <v>333843.59999999998</v>
      </c>
      <c r="M39" s="39">
        <f>+Tabla1[[#This Row],[Neto]]*21%</f>
        <v>70107.155999999988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f>+SUM(Tabla1[[#This Row],[IVA 21%]:[IVA 27%]])</f>
        <v>70107.155999999988</v>
      </c>
      <c r="V39" s="10">
        <f>+SUM(Tabla1[[#This Row],[Neto]:[Impuestos Internos / Otros Tributos]])</f>
        <v>403950.75599999994</v>
      </c>
      <c r="W39" s="10">
        <f>+Tabla1[[#This Row],[Total]]</f>
        <v>403950.75599999994</v>
      </c>
      <c r="X39" s="39">
        <f>+Tabla1[[#This Row],[Neto]]*2%</f>
        <v>6676.8719999999994</v>
      </c>
      <c r="Y39" s="10" t="s">
        <v>324</v>
      </c>
      <c r="Z39" s="10"/>
      <c r="AA39" s="107">
        <v>45593</v>
      </c>
      <c r="AB39" s="50">
        <f>+Tabla1[[#This Row],[Total a Pagar]]-Tabla1[[#This Row],[SICORE]]</f>
        <v>397273.88399999996</v>
      </c>
      <c r="AC39" s="38"/>
      <c r="AD39" s="38"/>
      <c r="AE39" s="38"/>
      <c r="AF39" s="38"/>
      <c r="AG39" s="38"/>
      <c r="AH39" s="39">
        <v>0</v>
      </c>
      <c r="AI39" s="38"/>
      <c r="AJ39" s="188"/>
    </row>
    <row r="40" spans="1:36" ht="13.95" hidden="1" customHeight="1" x14ac:dyDescent="0.3">
      <c r="A40" s="36" t="s">
        <v>318</v>
      </c>
      <c r="B40" s="55">
        <v>45535</v>
      </c>
      <c r="C40" s="37" t="s">
        <v>26</v>
      </c>
      <c r="D40" s="36" t="s">
        <v>58</v>
      </c>
      <c r="E40" s="45" t="s">
        <v>74</v>
      </c>
      <c r="F40" s="45" t="s">
        <v>490</v>
      </c>
      <c r="G40" s="38" t="s">
        <v>445</v>
      </c>
      <c r="H40" s="38">
        <v>30708764236</v>
      </c>
      <c r="I40" s="38" t="s">
        <v>487</v>
      </c>
      <c r="J40" s="36" t="s">
        <v>381</v>
      </c>
      <c r="K40" s="173">
        <v>1</v>
      </c>
      <c r="L40" s="39">
        <v>667687.19999999995</v>
      </c>
      <c r="M40" s="39">
        <f>+Tabla1[[#This Row],[Neto]]*21%</f>
        <v>140214.31199999998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f>+SUM(Tabla1[[#This Row],[IVA 21%]:[IVA 27%]])</f>
        <v>140214.31199999998</v>
      </c>
      <c r="V40" s="10">
        <f>+SUM(Tabla1[[#This Row],[Neto]:[Impuestos Internos / Otros Tributos]])</f>
        <v>807901.51199999987</v>
      </c>
      <c r="W40" s="10">
        <f>+Tabla1[[#This Row],[Total]]</f>
        <v>807901.51199999987</v>
      </c>
      <c r="X40" s="39">
        <f>+Tabla1[[#This Row],[Neto]]*2%</f>
        <v>13353.743999999999</v>
      </c>
      <c r="Y40" s="10" t="s">
        <v>324</v>
      </c>
      <c r="Z40" s="10"/>
      <c r="AA40" s="107">
        <v>45593</v>
      </c>
      <c r="AB40" s="50">
        <f>+Tabla1[[#This Row],[Total a Pagar]]-Tabla1[[#This Row],[SICORE]]</f>
        <v>794547.76799999992</v>
      </c>
      <c r="AC40" s="38"/>
      <c r="AD40" s="38"/>
      <c r="AE40" s="38"/>
      <c r="AF40" s="38"/>
      <c r="AG40" s="38"/>
      <c r="AH40" s="39">
        <v>0</v>
      </c>
      <c r="AI40" s="38"/>
      <c r="AJ40" s="188"/>
    </row>
    <row r="41" spans="1:36" ht="13.95" hidden="1" customHeight="1" x14ac:dyDescent="0.3">
      <c r="A41" s="36" t="s">
        <v>318</v>
      </c>
      <c r="B41" s="55">
        <v>45535</v>
      </c>
      <c r="C41" s="37" t="s">
        <v>26</v>
      </c>
      <c r="D41" s="36" t="s">
        <v>58</v>
      </c>
      <c r="E41" s="45" t="s">
        <v>74</v>
      </c>
      <c r="F41" s="45" t="s">
        <v>489</v>
      </c>
      <c r="G41" s="38" t="s">
        <v>445</v>
      </c>
      <c r="H41" s="38">
        <v>30708764236</v>
      </c>
      <c r="I41" s="4" t="s">
        <v>487</v>
      </c>
      <c r="J41" s="36" t="s">
        <v>381</v>
      </c>
      <c r="K41" s="173">
        <v>1</v>
      </c>
      <c r="L41" s="39">
        <v>667687.19999999995</v>
      </c>
      <c r="M41" s="39">
        <f>+Tabla1[[#This Row],[Neto]]*21%</f>
        <v>140214.31199999998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f>+SUM(Tabla1[[#This Row],[IVA 21%]:[IVA 27%]])</f>
        <v>140214.31199999998</v>
      </c>
      <c r="V41" s="10">
        <f>+SUM(Tabla1[[#This Row],[Neto]:[Impuestos Internos / Otros Tributos]])</f>
        <v>807901.51199999987</v>
      </c>
      <c r="W41" s="10">
        <f>+Tabla1[[#This Row],[Total]]</f>
        <v>807901.51199999987</v>
      </c>
      <c r="X41" s="39">
        <f>+Tabla1[[#This Row],[Neto]]*2%</f>
        <v>13353.743999999999</v>
      </c>
      <c r="Y41" s="10" t="s">
        <v>324</v>
      </c>
      <c r="Z41" s="10"/>
      <c r="AA41" s="107">
        <v>45593</v>
      </c>
      <c r="AB41" s="50">
        <f>+Tabla1[[#This Row],[Total a Pagar]]-Tabla1[[#This Row],[SICORE]]</f>
        <v>794547.76799999992</v>
      </c>
      <c r="AC41" s="38"/>
      <c r="AD41" s="38"/>
      <c r="AE41" s="38"/>
      <c r="AF41" s="38"/>
      <c r="AG41" s="38"/>
      <c r="AH41" s="39">
        <v>0</v>
      </c>
      <c r="AI41" s="38"/>
      <c r="AJ41" s="188"/>
    </row>
    <row r="42" spans="1:36" ht="13.95" hidden="1" customHeight="1" x14ac:dyDescent="0.3">
      <c r="A42" s="36" t="s">
        <v>318</v>
      </c>
      <c r="B42" s="55">
        <v>45535</v>
      </c>
      <c r="C42" s="37" t="s">
        <v>26</v>
      </c>
      <c r="D42" s="36" t="s">
        <v>58</v>
      </c>
      <c r="E42" s="45" t="s">
        <v>74</v>
      </c>
      <c r="F42" s="45" t="s">
        <v>486</v>
      </c>
      <c r="G42" s="38" t="s">
        <v>445</v>
      </c>
      <c r="H42" s="38">
        <v>30708764236</v>
      </c>
      <c r="I42" s="38" t="s">
        <v>488</v>
      </c>
      <c r="J42" s="36" t="s">
        <v>381</v>
      </c>
      <c r="K42" s="173">
        <v>1</v>
      </c>
      <c r="L42" s="39">
        <v>216467.4</v>
      </c>
      <c r="M42" s="39">
        <f>+Tabla1[[#This Row],[Neto]]*21%</f>
        <v>45458.153999999995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f>+SUM(Tabla1[[#This Row],[IVA 21%]:[IVA 27%]])</f>
        <v>45458.153999999995</v>
      </c>
      <c r="V42" s="10">
        <f>+SUM(Tabla1[[#This Row],[Neto]:[Impuestos Internos / Otros Tributos]])</f>
        <v>261925.554</v>
      </c>
      <c r="W42" s="10">
        <f>+Tabla1[[#This Row],[Total]]</f>
        <v>261925.554</v>
      </c>
      <c r="X42" s="39">
        <f>+Tabla1[[#This Row],[Neto]]*6%</f>
        <v>12988.044</v>
      </c>
      <c r="Y42" s="10" t="s">
        <v>324</v>
      </c>
      <c r="Z42" s="10"/>
      <c r="AA42" s="107">
        <v>45593</v>
      </c>
      <c r="AB42" s="50">
        <f>+Tabla1[[#This Row],[Total a Pagar]]-Tabla1[[#This Row],[SICORE]]</f>
        <v>248937.51</v>
      </c>
      <c r="AC42" s="38"/>
      <c r="AD42" s="38"/>
      <c r="AE42" s="38"/>
      <c r="AF42" s="38"/>
      <c r="AG42" s="38"/>
      <c r="AH42" s="39">
        <v>0</v>
      </c>
      <c r="AI42" s="38"/>
      <c r="AJ42" s="188"/>
    </row>
    <row r="43" spans="1:36" ht="13.95" hidden="1" customHeight="1" x14ac:dyDescent="0.3">
      <c r="A43" s="102" t="s">
        <v>25</v>
      </c>
      <c r="B43" s="103">
        <v>45536</v>
      </c>
      <c r="C43" s="118" t="s">
        <v>641</v>
      </c>
      <c r="D43" s="102"/>
      <c r="E43" s="102"/>
      <c r="F43" s="102"/>
      <c r="G43" s="104" t="s">
        <v>787</v>
      </c>
      <c r="H43" s="104"/>
      <c r="I43" s="104" t="s">
        <v>789</v>
      </c>
      <c r="J43" s="102" t="s">
        <v>381</v>
      </c>
      <c r="K43" s="173">
        <v>1</v>
      </c>
      <c r="L43" s="105">
        <v>400000</v>
      </c>
      <c r="M43" s="105">
        <v>0</v>
      </c>
      <c r="N43" s="105">
        <v>0</v>
      </c>
      <c r="O43" s="105">
        <v>0</v>
      </c>
      <c r="P43" s="105">
        <v>0</v>
      </c>
      <c r="Q43" s="105">
        <v>0</v>
      </c>
      <c r="R43" s="105">
        <v>0</v>
      </c>
      <c r="S43" s="105">
        <v>0</v>
      </c>
      <c r="T43" s="105">
        <v>0</v>
      </c>
      <c r="U43" s="105">
        <f>+SUM(Tabla1[[#This Row],[IVA 21%]:[IVA 27%]])</f>
        <v>0</v>
      </c>
      <c r="V43" s="10">
        <f>+SUM(Tabla1[[#This Row],[Neto]:[Impuestos Internos / Otros Tributos]])</f>
        <v>400000</v>
      </c>
      <c r="W43" s="10">
        <f>+Tabla1[[#This Row],[Total]]</f>
        <v>400000</v>
      </c>
      <c r="X43" s="105">
        <v>0</v>
      </c>
      <c r="Y43" s="49" t="s">
        <v>324</v>
      </c>
      <c r="AA43" s="117">
        <v>45602</v>
      </c>
      <c r="AB43" s="105">
        <v>0</v>
      </c>
      <c r="AC43" s="104"/>
      <c r="AD43" s="104"/>
      <c r="AE43" s="104"/>
      <c r="AF43" s="104"/>
      <c r="AG43" s="104"/>
      <c r="AH43" s="120">
        <f>+Tabla1[[#This Row],[Total a Pagar]]</f>
        <v>400000</v>
      </c>
      <c r="AI43" s="104"/>
      <c r="AJ43" s="188"/>
    </row>
    <row r="44" spans="1:36" ht="13.95" hidden="1" customHeight="1" x14ac:dyDescent="0.3">
      <c r="A44" s="8" t="s">
        <v>25</v>
      </c>
      <c r="B44" s="53">
        <v>45537</v>
      </c>
      <c r="C44" s="12" t="s">
        <v>26</v>
      </c>
      <c r="D44" s="8" t="s">
        <v>58</v>
      </c>
      <c r="E44" s="9" t="s">
        <v>59</v>
      </c>
      <c r="F44" s="9" t="s">
        <v>60</v>
      </c>
      <c r="G44" s="4" t="s">
        <v>61</v>
      </c>
      <c r="H44" s="4">
        <v>30716375184</v>
      </c>
      <c r="I44" s="4" t="s">
        <v>62</v>
      </c>
      <c r="J44" s="8" t="s">
        <v>381</v>
      </c>
      <c r="K44" s="173">
        <v>1</v>
      </c>
      <c r="L44" s="10">
        <v>17941.75</v>
      </c>
      <c r="M44" s="10">
        <v>3767.77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f>+SUM(Tabla1[[#This Row],[IVA 21%]:[IVA 27%]])</f>
        <v>3767.77</v>
      </c>
      <c r="V44" s="10">
        <f>+SUM(Tabla1[[#This Row],[Neto]:[Impuestos Internos / Otros Tributos]])</f>
        <v>21709.52</v>
      </c>
      <c r="W44" s="10">
        <v>21709.52</v>
      </c>
      <c r="X44" s="10"/>
      <c r="Y44" s="10" t="s">
        <v>324</v>
      </c>
      <c r="Z44" s="10"/>
      <c r="AA44" s="110"/>
      <c r="AB44" s="10">
        <v>0</v>
      </c>
      <c r="AC44" s="10"/>
      <c r="AD44" s="10"/>
      <c r="AE44" s="10"/>
      <c r="AF44" s="10"/>
      <c r="AG44" s="10"/>
      <c r="AH44" s="32">
        <v>21709.52</v>
      </c>
      <c r="AI44" s="10"/>
      <c r="AJ44" s="188"/>
    </row>
    <row r="45" spans="1:36" ht="13.95" hidden="1" customHeight="1" x14ac:dyDescent="0.3">
      <c r="A45" s="8" t="s">
        <v>25</v>
      </c>
      <c r="B45" s="53">
        <v>45537</v>
      </c>
      <c r="C45" s="12" t="s">
        <v>26</v>
      </c>
      <c r="D45" s="8" t="s">
        <v>58</v>
      </c>
      <c r="E45" s="9" t="s">
        <v>59</v>
      </c>
      <c r="F45" s="9" t="s">
        <v>274</v>
      </c>
      <c r="G45" s="4" t="s">
        <v>61</v>
      </c>
      <c r="H45" s="4">
        <v>30716375184</v>
      </c>
      <c r="I45" s="4" t="s">
        <v>62</v>
      </c>
      <c r="J45" s="8" t="s">
        <v>381</v>
      </c>
      <c r="K45" s="173">
        <v>1</v>
      </c>
      <c r="L45" s="10">
        <v>4462.79</v>
      </c>
      <c r="M45" s="10">
        <v>937.18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f>+SUM(Tabla1[[#This Row],[IVA 21%]:[IVA 27%]])</f>
        <v>937.18</v>
      </c>
      <c r="V45" s="10">
        <f>+SUM(Tabla1[[#This Row],[Neto]:[Impuestos Internos / Otros Tributos]])</f>
        <v>5399.97</v>
      </c>
      <c r="W45" s="10">
        <v>5399.97</v>
      </c>
      <c r="X45" s="10"/>
      <c r="Y45" s="10" t="s">
        <v>324</v>
      </c>
      <c r="Z45" s="10"/>
      <c r="AA45" s="110"/>
      <c r="AB45" s="10">
        <v>0</v>
      </c>
      <c r="AC45" s="10"/>
      <c r="AD45" s="10"/>
      <c r="AE45" s="10"/>
      <c r="AF45" s="10"/>
      <c r="AG45" s="10"/>
      <c r="AH45" s="32">
        <v>5399.97</v>
      </c>
      <c r="AI45" s="10"/>
      <c r="AJ45" s="188"/>
    </row>
    <row r="46" spans="1:36" ht="13.95" hidden="1" customHeight="1" x14ac:dyDescent="0.3">
      <c r="A46" s="8" t="s">
        <v>25</v>
      </c>
      <c r="B46" s="53">
        <v>45537</v>
      </c>
      <c r="C46" s="12" t="s">
        <v>26</v>
      </c>
      <c r="D46" s="8" t="s">
        <v>58</v>
      </c>
      <c r="E46" s="9" t="s">
        <v>32</v>
      </c>
      <c r="F46" s="9" t="s">
        <v>63</v>
      </c>
      <c r="G46" s="4" t="s">
        <v>276</v>
      </c>
      <c r="H46" s="4">
        <v>27161287305</v>
      </c>
      <c r="I46" s="4" t="s">
        <v>294</v>
      </c>
      <c r="J46" s="8" t="s">
        <v>381</v>
      </c>
      <c r="K46" s="173">
        <v>1</v>
      </c>
      <c r="L46" s="10">
        <v>4049.57</v>
      </c>
      <c r="M46" s="10">
        <v>850.41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f>+SUM(Tabla1[[#This Row],[IVA 21%]:[IVA 27%]])</f>
        <v>850.41</v>
      </c>
      <c r="V46" s="10">
        <f>+SUM(Tabla1[[#This Row],[Neto]:[Impuestos Internos / Otros Tributos]])</f>
        <v>4899.9800000000005</v>
      </c>
      <c r="W46" s="10">
        <v>4899.9800000000005</v>
      </c>
      <c r="X46" s="10"/>
      <c r="Y46" s="10" t="s">
        <v>324</v>
      </c>
      <c r="Z46" s="10"/>
      <c r="AA46" s="110"/>
      <c r="AB46" s="10">
        <v>0</v>
      </c>
      <c r="AC46" s="10"/>
      <c r="AD46" s="10"/>
      <c r="AE46" s="10"/>
      <c r="AF46" s="10"/>
      <c r="AG46" s="10"/>
      <c r="AH46" s="32">
        <v>4899.9800000000005</v>
      </c>
      <c r="AI46" s="10"/>
      <c r="AJ46" s="188"/>
    </row>
    <row r="47" spans="1:36" ht="13.95" hidden="1" customHeight="1" x14ac:dyDescent="0.3">
      <c r="A47" s="8" t="s">
        <v>25</v>
      </c>
      <c r="B47" s="53">
        <v>45537</v>
      </c>
      <c r="C47" s="12" t="s">
        <v>26</v>
      </c>
      <c r="D47" s="8" t="s">
        <v>58</v>
      </c>
      <c r="E47" s="9" t="s">
        <v>64</v>
      </c>
      <c r="F47" s="9" t="s">
        <v>65</v>
      </c>
      <c r="G47" s="4" t="s">
        <v>66</v>
      </c>
      <c r="H47" s="4">
        <v>30673770483</v>
      </c>
      <c r="I47" s="4" t="s">
        <v>62</v>
      </c>
      <c r="J47" s="8" t="s">
        <v>381</v>
      </c>
      <c r="K47" s="173">
        <v>1</v>
      </c>
      <c r="L47" s="10">
        <v>21447.439999999999</v>
      </c>
      <c r="M47" s="10">
        <v>4503.96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772.10784000000001</v>
      </c>
      <c r="T47" s="10">
        <v>0</v>
      </c>
      <c r="U47" s="10">
        <f>+SUM(Tabla1[[#This Row],[IVA 21%]:[IVA 27%]])</f>
        <v>4503.96</v>
      </c>
      <c r="V47" s="10">
        <f>+SUM(Tabla1[[#This Row],[Neto]:[Impuestos Internos / Otros Tributos]])</f>
        <v>26723.507839999998</v>
      </c>
      <c r="W47" s="10">
        <v>26723.507839999998</v>
      </c>
      <c r="X47" s="10"/>
      <c r="Y47" s="10" t="s">
        <v>324</v>
      </c>
      <c r="Z47" s="10"/>
      <c r="AA47" s="110"/>
      <c r="AB47" s="10">
        <v>0</v>
      </c>
      <c r="AC47" s="10"/>
      <c r="AD47" s="10"/>
      <c r="AE47" s="10"/>
      <c r="AF47" s="10"/>
      <c r="AG47" s="10"/>
      <c r="AH47" s="32">
        <v>26723.507839999998</v>
      </c>
      <c r="AI47" s="10"/>
      <c r="AJ47" s="188"/>
    </row>
    <row r="48" spans="1:36" ht="13.95" hidden="1" customHeight="1" x14ac:dyDescent="0.3">
      <c r="A48" s="8" t="s">
        <v>25</v>
      </c>
      <c r="B48" s="53">
        <v>45537</v>
      </c>
      <c r="C48" s="12" t="s">
        <v>26</v>
      </c>
      <c r="D48" s="8" t="s">
        <v>58</v>
      </c>
      <c r="E48" s="9" t="s">
        <v>74</v>
      </c>
      <c r="F48" s="9" t="s">
        <v>75</v>
      </c>
      <c r="G48" s="4" t="s">
        <v>76</v>
      </c>
      <c r="H48" s="4">
        <v>20218534105</v>
      </c>
      <c r="I48" s="4" t="s">
        <v>277</v>
      </c>
      <c r="J48" s="8" t="s">
        <v>381</v>
      </c>
      <c r="K48" s="173">
        <v>1</v>
      </c>
      <c r="L48" s="10">
        <v>22600</v>
      </c>
      <c r="M48" s="10">
        <v>4746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f>+SUM(Tabla1[[#This Row],[IVA 21%]:[IVA 27%]])</f>
        <v>4746</v>
      </c>
      <c r="V48" s="10">
        <f>+SUM(Tabla1[[#This Row],[Neto]:[Impuestos Internos / Otros Tributos]])</f>
        <v>27346</v>
      </c>
      <c r="W48" s="10">
        <v>27346</v>
      </c>
      <c r="X48" s="10"/>
      <c r="Y48" s="10" t="s">
        <v>324</v>
      </c>
      <c r="Z48" s="10"/>
      <c r="AA48" s="110"/>
      <c r="AB48" s="10">
        <v>0</v>
      </c>
      <c r="AC48" s="10"/>
      <c r="AD48" s="10"/>
      <c r="AE48" s="10"/>
      <c r="AF48" s="10"/>
      <c r="AG48" s="10"/>
      <c r="AH48" s="32">
        <v>27346</v>
      </c>
      <c r="AI48" s="10"/>
      <c r="AJ48" s="188"/>
    </row>
    <row r="49" spans="1:38" ht="13.95" customHeight="1" x14ac:dyDescent="0.3">
      <c r="A49" s="244" t="s">
        <v>25</v>
      </c>
      <c r="B49" s="245">
        <v>45537</v>
      </c>
      <c r="C49" s="246" t="s">
        <v>26</v>
      </c>
      <c r="D49" s="244" t="s">
        <v>58</v>
      </c>
      <c r="E49" s="235" t="s">
        <v>32</v>
      </c>
      <c r="F49" s="235" t="s">
        <v>148</v>
      </c>
      <c r="G49" s="243" t="s">
        <v>146</v>
      </c>
      <c r="H49" s="243">
        <v>33716385359</v>
      </c>
      <c r="I49" s="243" t="s">
        <v>142</v>
      </c>
      <c r="J49" s="8" t="s">
        <v>381</v>
      </c>
      <c r="K49" s="173">
        <v>1</v>
      </c>
      <c r="L49" s="229">
        <v>571000</v>
      </c>
      <c r="M49" s="229">
        <v>119910</v>
      </c>
      <c r="N49" s="14">
        <v>0</v>
      </c>
      <c r="O49" s="14">
        <v>0</v>
      </c>
      <c r="P49" s="14">
        <v>0</v>
      </c>
      <c r="Q49" s="229">
        <v>2498850.04</v>
      </c>
      <c r="R49" s="14">
        <v>0</v>
      </c>
      <c r="S49" s="229">
        <v>104664.6</v>
      </c>
      <c r="T49" s="14">
        <v>0</v>
      </c>
      <c r="U49" s="229">
        <f>+SUM(Tabla1[[#This Row],[IVA 21%]:[IVA 27%]])</f>
        <v>119910</v>
      </c>
      <c r="V49" s="229">
        <f>+SUM(Tabla1[[#This Row],[Neto]:[Impuestos Internos / Otros Tributos]])</f>
        <v>3294424.64</v>
      </c>
      <c r="W49" s="229">
        <f>+V49</f>
        <v>3294424.64</v>
      </c>
      <c r="X49" s="229">
        <v>0</v>
      </c>
      <c r="Y49" s="229" t="s">
        <v>324</v>
      </c>
      <c r="Z49" s="229"/>
      <c r="AA49" s="247">
        <v>45583</v>
      </c>
      <c r="AB49" s="229"/>
      <c r="AC49" s="14"/>
      <c r="AD49" s="14"/>
      <c r="AE49" s="14"/>
      <c r="AF49" s="14"/>
      <c r="AG49" s="14"/>
      <c r="AH49" s="14"/>
      <c r="AI49" s="14"/>
      <c r="AJ49" s="4" t="s">
        <v>963</v>
      </c>
    </row>
    <row r="50" spans="1:38" ht="13.95" hidden="1" customHeight="1" x14ac:dyDescent="0.3">
      <c r="A50" s="8" t="s">
        <v>25</v>
      </c>
      <c r="B50" s="53">
        <v>45537</v>
      </c>
      <c r="C50" s="12" t="s">
        <v>26</v>
      </c>
      <c r="D50" s="8" t="s">
        <v>58</v>
      </c>
      <c r="E50" s="9" t="s">
        <v>67</v>
      </c>
      <c r="F50" s="9" t="s">
        <v>68</v>
      </c>
      <c r="G50" s="4" t="s">
        <v>69</v>
      </c>
      <c r="H50" s="4">
        <v>30709242004</v>
      </c>
      <c r="I50" s="4" t="s">
        <v>310</v>
      </c>
      <c r="J50" s="8" t="s">
        <v>381</v>
      </c>
      <c r="K50" s="173">
        <v>1</v>
      </c>
      <c r="L50" s="10">
        <v>4793.3900000000003</v>
      </c>
      <c r="M50" s="10">
        <v>1006.6119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f>+SUM(Tabla1[[#This Row],[IVA 21%]:[IVA 27%]])</f>
        <v>1006.6119</v>
      </c>
      <c r="V50" s="10">
        <f>+SUM(Tabla1[[#This Row],[Neto]:[Impuestos Internos / Otros Tributos]])</f>
        <v>5800.0019000000002</v>
      </c>
      <c r="W50" s="10">
        <v>5800.0019000000002</v>
      </c>
      <c r="X50" s="10"/>
      <c r="Y50" s="10" t="s">
        <v>324</v>
      </c>
      <c r="Z50" s="10"/>
      <c r="AA50" s="110"/>
      <c r="AB50" s="10">
        <v>0</v>
      </c>
      <c r="AC50" s="10"/>
      <c r="AD50" s="10"/>
      <c r="AE50" s="10"/>
      <c r="AF50" s="10"/>
      <c r="AG50" s="10"/>
      <c r="AH50" s="32">
        <v>5800.0019000000002</v>
      </c>
      <c r="AI50" s="10"/>
      <c r="AJ50" s="188"/>
    </row>
    <row r="51" spans="1:38" ht="13.95" hidden="1" customHeight="1" x14ac:dyDescent="0.3">
      <c r="A51" s="8" t="s">
        <v>25</v>
      </c>
      <c r="B51" s="53">
        <v>45537</v>
      </c>
      <c r="C51" s="12" t="s">
        <v>26</v>
      </c>
      <c r="D51" s="8" t="s">
        <v>58</v>
      </c>
      <c r="E51" s="9" t="s">
        <v>37</v>
      </c>
      <c r="F51" s="9" t="s">
        <v>154</v>
      </c>
      <c r="G51" s="4" t="s">
        <v>155</v>
      </c>
      <c r="H51" s="4">
        <v>30715721461</v>
      </c>
      <c r="I51" s="4" t="s">
        <v>156</v>
      </c>
      <c r="J51" s="8" t="s">
        <v>381</v>
      </c>
      <c r="K51" s="173">
        <v>1</v>
      </c>
      <c r="L51" s="10">
        <v>45000</v>
      </c>
      <c r="M51" s="10">
        <v>9450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f>+SUM(Tabla1[[#This Row],[IVA 21%]:[IVA 27%]])</f>
        <v>9450</v>
      </c>
      <c r="V51" s="10">
        <f>+SUM(Tabla1[[#This Row],[Neto]:[Impuestos Internos / Otros Tributos]])</f>
        <v>54450</v>
      </c>
      <c r="W51" s="10">
        <v>54450</v>
      </c>
      <c r="X51" s="10"/>
      <c r="Y51" s="14" t="s">
        <v>324</v>
      </c>
      <c r="Z51" s="14"/>
      <c r="AA51" s="109">
        <v>45570</v>
      </c>
      <c r="AB51" s="32">
        <f>+Tabla1[[#This Row],[Total a Pagar]]</f>
        <v>54450</v>
      </c>
      <c r="AC51" s="10"/>
      <c r="AD51" s="10"/>
      <c r="AE51" s="10"/>
      <c r="AF51" s="10"/>
      <c r="AG51" s="10"/>
      <c r="AH51" s="10">
        <v>0</v>
      </c>
      <c r="AI51" s="10"/>
      <c r="AJ51" s="188"/>
    </row>
    <row r="52" spans="1:38" ht="13.95" hidden="1" customHeight="1" x14ac:dyDescent="0.3">
      <c r="A52" s="8" t="s">
        <v>25</v>
      </c>
      <c r="B52" s="53">
        <v>45537</v>
      </c>
      <c r="C52" s="29" t="s">
        <v>26</v>
      </c>
      <c r="D52" s="28" t="s">
        <v>58</v>
      </c>
      <c r="E52" s="9" t="s">
        <v>28</v>
      </c>
      <c r="F52" s="9" t="s">
        <v>385</v>
      </c>
      <c r="G52" s="4" t="s">
        <v>386</v>
      </c>
      <c r="H52" s="4">
        <v>30716190311</v>
      </c>
      <c r="I52" s="4" t="s">
        <v>387</v>
      </c>
      <c r="J52" s="8" t="s">
        <v>381</v>
      </c>
      <c r="K52" s="173">
        <v>1</v>
      </c>
      <c r="L52" s="10">
        <v>1260000</v>
      </c>
      <c r="M52" s="10">
        <f>+Tabla1[[#This Row],[Neto]]*21%</f>
        <v>264600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f>+SUM(Tabla1[[#This Row],[IVA 21%]:[IVA 27%]])</f>
        <v>264600</v>
      </c>
      <c r="V52" s="10">
        <f>+SUM(Tabla1[[#This Row],[Neto]:[Impuestos Internos / Otros Tributos]])</f>
        <v>1524600</v>
      </c>
      <c r="W52" s="10">
        <f>+SUM(Tabla1[[#This Row],[Neto]:[Impuestos Internos / Otros Tributos]])</f>
        <v>1524600</v>
      </c>
      <c r="X52" s="10">
        <v>0</v>
      </c>
      <c r="Y52" s="14" t="s">
        <v>324</v>
      </c>
      <c r="Z52" s="14"/>
      <c r="AA52" s="109">
        <v>45561</v>
      </c>
      <c r="AB52" s="32">
        <f>+Tabla1[[#This Row],[Total a Pagar]]</f>
        <v>1524600</v>
      </c>
      <c r="AH52" s="10">
        <v>0</v>
      </c>
      <c r="AJ52" s="188"/>
    </row>
    <row r="53" spans="1:38" ht="13.95" hidden="1" customHeight="1" x14ac:dyDescent="0.3">
      <c r="A53" s="8" t="s">
        <v>25</v>
      </c>
      <c r="B53" s="53">
        <v>45538</v>
      </c>
      <c r="C53" s="12" t="s">
        <v>26</v>
      </c>
      <c r="D53" s="8" t="s">
        <v>58</v>
      </c>
      <c r="E53" s="9" t="s">
        <v>107</v>
      </c>
      <c r="F53" s="9" t="s">
        <v>191</v>
      </c>
      <c r="G53" s="4" t="s">
        <v>192</v>
      </c>
      <c r="H53" s="4">
        <v>27057859755</v>
      </c>
      <c r="I53" s="4" t="s">
        <v>594</v>
      </c>
      <c r="J53" s="8" t="s">
        <v>381</v>
      </c>
      <c r="K53" s="173">
        <v>1</v>
      </c>
      <c r="L53" s="10">
        <v>2704000</v>
      </c>
      <c r="M53" s="10">
        <v>567840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f>+SUM(Tabla1[[#This Row],[IVA 21%]:[IVA 27%]])</f>
        <v>567840</v>
      </c>
      <c r="V53" s="10">
        <f>+SUM(Tabla1[[#This Row],[Neto]:[Impuestos Internos / Otros Tributos]])</f>
        <v>3271840</v>
      </c>
      <c r="W53" s="10">
        <f>+Tabla1[[#This Row],[Total]]</f>
        <v>3271840</v>
      </c>
      <c r="X53" s="10">
        <v>0</v>
      </c>
      <c r="Y53" s="10" t="s">
        <v>324</v>
      </c>
      <c r="Z53" s="10"/>
      <c r="AA53" s="110">
        <v>45526</v>
      </c>
      <c r="AB53" s="32">
        <v>3271840</v>
      </c>
      <c r="AC53" s="10"/>
      <c r="AD53" s="10"/>
      <c r="AE53" s="10"/>
      <c r="AF53" s="10"/>
      <c r="AG53" s="10"/>
      <c r="AH53" s="10">
        <v>0</v>
      </c>
      <c r="AI53" s="10"/>
      <c r="AJ53" s="188"/>
    </row>
    <row r="54" spans="1:38" ht="13.95" hidden="1" customHeight="1" x14ac:dyDescent="0.3">
      <c r="A54" s="8" t="s">
        <v>25</v>
      </c>
      <c r="B54" s="53">
        <v>45538</v>
      </c>
      <c r="C54" s="12" t="s">
        <v>26</v>
      </c>
      <c r="D54" s="8" t="s">
        <v>58</v>
      </c>
      <c r="E54" s="9" t="s">
        <v>74</v>
      </c>
      <c r="F54" s="9" t="s">
        <v>128</v>
      </c>
      <c r="G54" s="4" t="s">
        <v>129</v>
      </c>
      <c r="H54" s="4">
        <v>30717926966</v>
      </c>
      <c r="I54" s="4" t="s">
        <v>666</v>
      </c>
      <c r="J54" s="8" t="s">
        <v>381</v>
      </c>
      <c r="K54" s="173">
        <v>1</v>
      </c>
      <c r="L54" s="10">
        <v>218181.9</v>
      </c>
      <c r="M54" s="10">
        <v>45818.2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f>+SUM(Tabla1[[#This Row],[IVA 21%]:[IVA 27%]])</f>
        <v>45818.2</v>
      </c>
      <c r="V54" s="10">
        <f>+SUM(Tabla1[[#This Row],[Neto]:[Impuestos Internos / Otros Tributos]])</f>
        <v>264000.09999999998</v>
      </c>
      <c r="W54" s="10">
        <f>+Tabla1[[#This Row],[Total]]</f>
        <v>264000.09999999998</v>
      </c>
      <c r="X54" s="10">
        <v>0</v>
      </c>
      <c r="Y54" s="14" t="s">
        <v>324</v>
      </c>
      <c r="Z54" s="14"/>
      <c r="AA54" s="109">
        <v>45568</v>
      </c>
      <c r="AB54" s="32">
        <f>+Tabla1[[#This Row],[Total a Pagar]]</f>
        <v>264000.09999999998</v>
      </c>
      <c r="AC54" s="10"/>
      <c r="AD54" s="10"/>
      <c r="AE54" s="10"/>
      <c r="AF54" s="10"/>
      <c r="AG54" s="10"/>
      <c r="AH54" s="10">
        <v>0</v>
      </c>
      <c r="AI54" s="10"/>
      <c r="AJ54" s="188"/>
    </row>
    <row r="55" spans="1:38" ht="13.95" hidden="1" customHeight="1" x14ac:dyDescent="0.3">
      <c r="A55" s="8" t="s">
        <v>25</v>
      </c>
      <c r="B55" s="53">
        <v>45538</v>
      </c>
      <c r="C55" s="12" t="s">
        <v>26</v>
      </c>
      <c r="D55" s="8" t="s">
        <v>27</v>
      </c>
      <c r="E55" s="9" t="s">
        <v>37</v>
      </c>
      <c r="F55" s="9" t="s">
        <v>77</v>
      </c>
      <c r="G55" s="4" t="s">
        <v>78</v>
      </c>
      <c r="H55" s="4">
        <v>20105424605</v>
      </c>
      <c r="I55" s="4" t="s">
        <v>277</v>
      </c>
      <c r="J55" s="8" t="s">
        <v>381</v>
      </c>
      <c r="K55" s="173">
        <v>1</v>
      </c>
      <c r="L55" s="10">
        <v>6390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f>+SUM(Tabla1[[#This Row],[IVA 21%]:[IVA 27%]])</f>
        <v>0</v>
      </c>
      <c r="V55" s="10">
        <f>+SUM(Tabla1[[#This Row],[Neto]:[Impuestos Internos / Otros Tributos]])</f>
        <v>6390</v>
      </c>
      <c r="W55" s="10">
        <v>6390</v>
      </c>
      <c r="X55" s="10"/>
      <c r="Y55" s="10" t="s">
        <v>324</v>
      </c>
      <c r="Z55" s="10"/>
      <c r="AA55" s="110"/>
      <c r="AB55" s="10">
        <v>0</v>
      </c>
      <c r="AC55" s="10"/>
      <c r="AD55" s="10"/>
      <c r="AE55" s="10"/>
      <c r="AF55" s="10"/>
      <c r="AG55" s="10"/>
      <c r="AH55" s="32">
        <v>6390</v>
      </c>
      <c r="AI55" s="10"/>
      <c r="AJ55" s="188"/>
    </row>
    <row r="56" spans="1:38" ht="13.95" hidden="1" customHeight="1" x14ac:dyDescent="0.3">
      <c r="A56" s="8" t="s">
        <v>25</v>
      </c>
      <c r="B56" s="53">
        <v>45538</v>
      </c>
      <c r="C56" s="12" t="s">
        <v>26</v>
      </c>
      <c r="D56" s="8" t="s">
        <v>58</v>
      </c>
      <c r="E56" s="9" t="s">
        <v>32</v>
      </c>
      <c r="F56" s="9" t="s">
        <v>281</v>
      </c>
      <c r="G56" s="4" t="s">
        <v>282</v>
      </c>
      <c r="H56" s="4">
        <v>30714721301</v>
      </c>
      <c r="I56" s="4" t="s">
        <v>283</v>
      </c>
      <c r="J56" s="8" t="s">
        <v>381</v>
      </c>
      <c r="K56" s="173">
        <v>1</v>
      </c>
      <c r="L56" s="10">
        <v>1565281.13</v>
      </c>
      <c r="M56" s="10">
        <f>+Tabla1[[#This Row],[Neto]]*21%</f>
        <v>328709.03729999997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f>+Tabla1[[#This Row],[Neto]]*3.6%</f>
        <v>56350.12068</v>
      </c>
      <c r="T56" s="10">
        <v>0</v>
      </c>
      <c r="U56" s="10">
        <f>+SUM(Tabla1[[#This Row],[IVA 21%]:[IVA 27%]])</f>
        <v>328709.03729999997</v>
      </c>
      <c r="V56" s="10">
        <f>+SUM(Tabla1[[#This Row],[Neto]:[Impuestos Internos / Otros Tributos]])</f>
        <v>1950340.2879799998</v>
      </c>
      <c r="W56" s="10">
        <f>+Tabla1[[#This Row],[Total]]</f>
        <v>1950340.2879799998</v>
      </c>
      <c r="X56" s="10">
        <f>+(Tabla1[[#This Row],[Neto]]-224000)*2%</f>
        <v>26825.622599999999</v>
      </c>
      <c r="Y56" s="14" t="s">
        <v>324</v>
      </c>
      <c r="Z56" s="14"/>
      <c r="AA56" s="109">
        <v>45607</v>
      </c>
      <c r="AB56" s="32">
        <f>+Tabla1[[#This Row],[Total a Pagar]]-Tabla1[[#This Row],[SICORE]]</f>
        <v>1923514.6653799999</v>
      </c>
      <c r="AH56" s="10">
        <v>0</v>
      </c>
      <c r="AJ56" s="188"/>
    </row>
    <row r="57" spans="1:38" ht="13.95" hidden="1" customHeight="1" x14ac:dyDescent="0.3">
      <c r="A57" s="8" t="s">
        <v>25</v>
      </c>
      <c r="B57" s="53">
        <v>45539</v>
      </c>
      <c r="C57" s="12" t="s">
        <v>26</v>
      </c>
      <c r="D57" s="8" t="s">
        <v>58</v>
      </c>
      <c r="E57" s="9" t="s">
        <v>74</v>
      </c>
      <c r="F57" s="9" t="s">
        <v>79</v>
      </c>
      <c r="G57" s="4" t="s">
        <v>80</v>
      </c>
      <c r="H57" s="4">
        <v>20138455654</v>
      </c>
      <c r="I57" s="4" t="s">
        <v>81</v>
      </c>
      <c r="J57" s="8" t="s">
        <v>381</v>
      </c>
      <c r="K57" s="173">
        <v>1</v>
      </c>
      <c r="L57" s="10">
        <v>5537.19</v>
      </c>
      <c r="M57" s="10">
        <v>1162.81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f>+SUM(Tabla1[[#This Row],[IVA 21%]:[IVA 27%]])</f>
        <v>1162.81</v>
      </c>
      <c r="V57" s="10">
        <f>+SUM(Tabla1[[#This Row],[Neto]:[Impuestos Internos / Otros Tributos]])</f>
        <v>6700</v>
      </c>
      <c r="W57" s="10">
        <f>+Tabla1[[#This Row],[Total]]</f>
        <v>6700</v>
      </c>
      <c r="X57" s="10">
        <v>0</v>
      </c>
      <c r="Y57" s="10" t="s">
        <v>324</v>
      </c>
      <c r="Z57" s="10"/>
      <c r="AA57" s="110"/>
      <c r="AB57" s="10">
        <v>0</v>
      </c>
      <c r="AC57" s="10"/>
      <c r="AD57" s="10"/>
      <c r="AE57" s="10"/>
      <c r="AF57" s="10"/>
      <c r="AG57" s="10"/>
      <c r="AH57" s="32">
        <v>6700</v>
      </c>
      <c r="AI57" s="10"/>
      <c r="AJ57" s="224"/>
      <c r="AK57" s="15"/>
      <c r="AL57" s="15"/>
    </row>
    <row r="58" spans="1:38" ht="13.95" hidden="1" customHeight="1" x14ac:dyDescent="0.3">
      <c r="A58" s="8" t="s">
        <v>25</v>
      </c>
      <c r="B58" s="53">
        <v>45539</v>
      </c>
      <c r="C58" s="12" t="s">
        <v>26</v>
      </c>
      <c r="D58" s="8" t="s">
        <v>58</v>
      </c>
      <c r="E58" s="9" t="s">
        <v>266</v>
      </c>
      <c r="F58" s="9" t="s">
        <v>267</v>
      </c>
      <c r="G58" s="4" t="s">
        <v>268</v>
      </c>
      <c r="H58" s="4">
        <v>30690633635</v>
      </c>
      <c r="I58" s="4" t="s">
        <v>269</v>
      </c>
      <c r="J58" s="8" t="s">
        <v>381</v>
      </c>
      <c r="K58" s="173">
        <v>1</v>
      </c>
      <c r="L58" s="10">
        <v>1893690.42</v>
      </c>
      <c r="M58" s="10">
        <v>0</v>
      </c>
      <c r="N58" s="10">
        <v>0</v>
      </c>
      <c r="O58" s="10">
        <v>493068.88</v>
      </c>
      <c r="P58" s="10">
        <v>0</v>
      </c>
      <c r="Q58" s="10">
        <v>0</v>
      </c>
      <c r="R58" s="10">
        <v>0</v>
      </c>
      <c r="S58" s="10">
        <v>0</v>
      </c>
      <c r="T58" s="10">
        <v>152859.99</v>
      </c>
      <c r="U58" s="10">
        <f>+SUM(Tabla1[[#This Row],[IVA 21%]:[IVA 27%]])</f>
        <v>493068.88</v>
      </c>
      <c r="V58" s="10">
        <f>+SUM(Tabla1[[#This Row],[Neto]:[Impuestos Internos / Otros Tributos]])</f>
        <v>2539619.29</v>
      </c>
      <c r="W58" s="10">
        <f>+Tabla1[[#This Row],[Total]]</f>
        <v>2539619.29</v>
      </c>
      <c r="X58" s="10">
        <v>0</v>
      </c>
      <c r="Y58" s="10" t="s">
        <v>324</v>
      </c>
      <c r="Z58" s="10"/>
      <c r="AA58" s="110">
        <v>45560</v>
      </c>
      <c r="AB58" s="32">
        <f>+Tabla1[[#This Row],[Total a Pagar]]</f>
        <v>2539619.29</v>
      </c>
      <c r="AH58" s="10">
        <v>0</v>
      </c>
      <c r="AJ58" s="225"/>
      <c r="AK58" s="13"/>
      <c r="AL58" s="13"/>
    </row>
    <row r="59" spans="1:38" ht="13.95" customHeight="1" x14ac:dyDescent="0.3">
      <c r="A59" s="244" t="s">
        <v>25</v>
      </c>
      <c r="B59" s="245">
        <v>45539</v>
      </c>
      <c r="C59" s="246" t="s">
        <v>26</v>
      </c>
      <c r="D59" s="244" t="s">
        <v>58</v>
      </c>
      <c r="E59" s="235" t="s">
        <v>32</v>
      </c>
      <c r="F59" s="235" t="s">
        <v>208</v>
      </c>
      <c r="G59" s="243" t="s">
        <v>146</v>
      </c>
      <c r="H59" s="243">
        <v>33716385359</v>
      </c>
      <c r="I59" s="243" t="s">
        <v>142</v>
      </c>
      <c r="J59" s="8" t="s">
        <v>381</v>
      </c>
      <c r="K59" s="173">
        <v>1</v>
      </c>
      <c r="L59" s="229">
        <v>0</v>
      </c>
      <c r="M59" s="229">
        <v>0</v>
      </c>
      <c r="N59" s="14">
        <v>0</v>
      </c>
      <c r="O59" s="14">
        <v>0</v>
      </c>
      <c r="P59" s="14">
        <v>0</v>
      </c>
      <c r="Q59" s="229">
        <v>64000</v>
      </c>
      <c r="R59" s="14">
        <v>0</v>
      </c>
      <c r="S59" s="229">
        <f>+Q59*3.6%</f>
        <v>2304.0000000000005</v>
      </c>
      <c r="T59" s="14">
        <v>0</v>
      </c>
      <c r="U59" s="229">
        <f>+SUM(Tabla1[[#This Row],[IVA 21%]:[IVA 27%]])</f>
        <v>0</v>
      </c>
      <c r="V59" s="229">
        <f>+SUM(Tabla1[[#This Row],[Neto]:[Impuestos Internos / Otros Tributos]])</f>
        <v>66304</v>
      </c>
      <c r="W59" s="229">
        <f>+V59</f>
        <v>66304</v>
      </c>
      <c r="X59" s="229">
        <v>0</v>
      </c>
      <c r="Y59" s="229" t="s">
        <v>324</v>
      </c>
      <c r="Z59" s="229"/>
      <c r="AA59" s="247">
        <v>45583</v>
      </c>
      <c r="AB59" s="229"/>
      <c r="AC59" s="14"/>
      <c r="AD59" s="14"/>
      <c r="AE59" s="14"/>
      <c r="AF59" s="14"/>
      <c r="AG59" s="14"/>
      <c r="AH59" s="14"/>
      <c r="AI59" s="14"/>
      <c r="AJ59" s="4" t="s">
        <v>963</v>
      </c>
    </row>
    <row r="60" spans="1:38" ht="13.95" hidden="1" customHeight="1" x14ac:dyDescent="0.3">
      <c r="A60" s="8" t="s">
        <v>25</v>
      </c>
      <c r="B60" s="53">
        <v>45539</v>
      </c>
      <c r="C60" s="12" t="s">
        <v>26</v>
      </c>
      <c r="D60" s="8" t="s">
        <v>58</v>
      </c>
      <c r="E60" s="9" t="s">
        <v>151</v>
      </c>
      <c r="F60" s="9" t="s">
        <v>152</v>
      </c>
      <c r="G60" s="4" t="s">
        <v>153</v>
      </c>
      <c r="H60" s="4">
        <v>20233929035</v>
      </c>
      <c r="I60" s="4" t="s">
        <v>87</v>
      </c>
      <c r="J60" s="8" t="s">
        <v>381</v>
      </c>
      <c r="K60" s="173">
        <v>1</v>
      </c>
      <c r="L60" s="10">
        <v>261952.27</v>
      </c>
      <c r="M60" s="10">
        <v>55009.97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f>+SUM(Tabla1[[#This Row],[IVA 21%]:[IVA 27%]])</f>
        <v>55009.97</v>
      </c>
      <c r="V60" s="10">
        <f>+SUM(Tabla1[[#This Row],[Neto]:[Impuestos Internos / Otros Tributos]])</f>
        <v>316962.24</v>
      </c>
      <c r="W60" s="10">
        <v>316962.24</v>
      </c>
      <c r="X60" s="10">
        <v>759.05</v>
      </c>
      <c r="Y60" s="14" t="s">
        <v>324</v>
      </c>
      <c r="Z60" s="14"/>
      <c r="AA60" s="109">
        <v>45570</v>
      </c>
      <c r="AB60" s="32">
        <f>+Tabla1[[#This Row],[Total a Pagar]]-Tabla1[[#This Row],[SICORE]]</f>
        <v>316203.19</v>
      </c>
      <c r="AC60" s="10"/>
      <c r="AD60" s="10"/>
      <c r="AE60" s="10"/>
      <c r="AF60" s="10"/>
      <c r="AG60" s="10"/>
      <c r="AH60" s="10">
        <v>0</v>
      </c>
      <c r="AI60" s="10"/>
      <c r="AJ60" s="188"/>
    </row>
    <row r="61" spans="1:38" ht="13.95" hidden="1" customHeight="1" x14ac:dyDescent="0.3">
      <c r="A61" s="8" t="s">
        <v>25</v>
      </c>
      <c r="B61" s="53">
        <v>45539</v>
      </c>
      <c r="C61" s="12" t="s">
        <v>26</v>
      </c>
      <c r="D61" s="8" t="s">
        <v>58</v>
      </c>
      <c r="E61" s="9" t="s">
        <v>151</v>
      </c>
      <c r="F61" s="9" t="s">
        <v>271</v>
      </c>
      <c r="G61" s="4" t="s">
        <v>153</v>
      </c>
      <c r="H61" s="4">
        <v>20233929035</v>
      </c>
      <c r="I61" s="4" t="s">
        <v>87</v>
      </c>
      <c r="J61" s="8" t="s">
        <v>381</v>
      </c>
      <c r="K61" s="173">
        <v>1</v>
      </c>
      <c r="L61" s="10">
        <v>37487.61</v>
      </c>
      <c r="M61" s="10">
        <v>7872.4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f>+SUM(Tabla1[[#This Row],[IVA 21%]:[IVA 27%]])</f>
        <v>7872.4</v>
      </c>
      <c r="V61" s="10">
        <f>+SUM(Tabla1[[#This Row],[Neto]:[Impuestos Internos / Otros Tributos]])</f>
        <v>45360.01</v>
      </c>
      <c r="W61" s="10">
        <v>45360.01</v>
      </c>
      <c r="X61" s="10">
        <v>749.75</v>
      </c>
      <c r="Y61" s="14" t="s">
        <v>324</v>
      </c>
      <c r="Z61" s="14"/>
      <c r="AA61" s="109">
        <v>45570</v>
      </c>
      <c r="AB61" s="32">
        <f>+Tabla1[[#This Row],[Total a Pagar]]-Tabla1[[#This Row],[SICORE]]</f>
        <v>44610.26</v>
      </c>
      <c r="AC61" s="10"/>
      <c r="AD61" s="10"/>
      <c r="AE61" s="10"/>
      <c r="AF61" s="10"/>
      <c r="AG61" s="10"/>
      <c r="AH61" s="10">
        <v>0</v>
      </c>
      <c r="AI61" s="10"/>
      <c r="AJ61" s="188"/>
    </row>
    <row r="62" spans="1:38" s="15" customFormat="1" ht="13.95" hidden="1" customHeight="1" x14ac:dyDescent="0.3">
      <c r="A62" s="21" t="s">
        <v>25</v>
      </c>
      <c r="B62" s="56">
        <v>45539</v>
      </c>
      <c r="C62" s="22" t="s">
        <v>26</v>
      </c>
      <c r="D62" s="21" t="s">
        <v>70</v>
      </c>
      <c r="E62" s="23" t="s">
        <v>71</v>
      </c>
      <c r="F62" s="23" t="s">
        <v>72</v>
      </c>
      <c r="G62" s="24" t="s">
        <v>73</v>
      </c>
      <c r="H62" s="24">
        <v>30711372322</v>
      </c>
      <c r="I62" s="24" t="s">
        <v>279</v>
      </c>
      <c r="J62" s="8" t="s">
        <v>381</v>
      </c>
      <c r="K62" s="173">
        <v>1</v>
      </c>
      <c r="L62" s="25">
        <v>25200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10">
        <f>+SUM(Tabla1[[#This Row],[IVA 21%]:[IVA 27%]])</f>
        <v>0</v>
      </c>
      <c r="V62" s="10">
        <f>+SUM(Tabla1[[#This Row],[Neto]:[Impuestos Internos / Otros Tributos]])</f>
        <v>25200</v>
      </c>
      <c r="W62" s="25">
        <v>25200</v>
      </c>
      <c r="X62" s="25"/>
      <c r="Y62" s="10" t="s">
        <v>324</v>
      </c>
      <c r="Z62" s="10"/>
      <c r="AA62" s="110"/>
      <c r="AB62" s="25">
        <v>0</v>
      </c>
      <c r="AC62" s="25"/>
      <c r="AD62" s="25"/>
      <c r="AE62" s="25"/>
      <c r="AF62" s="25"/>
      <c r="AG62" s="25"/>
      <c r="AH62" s="75">
        <v>25200</v>
      </c>
      <c r="AI62" s="25"/>
      <c r="AJ62" s="188"/>
      <c r="AK62" s="4"/>
      <c r="AL62" s="4"/>
    </row>
    <row r="63" spans="1:38" ht="13.95" hidden="1" customHeight="1" x14ac:dyDescent="0.3">
      <c r="A63" s="8" t="s">
        <v>25</v>
      </c>
      <c r="B63" s="53">
        <v>45539</v>
      </c>
      <c r="C63" s="29" t="s">
        <v>26</v>
      </c>
      <c r="D63" s="28" t="s">
        <v>58</v>
      </c>
      <c r="E63" s="9" t="s">
        <v>74</v>
      </c>
      <c r="F63" s="9" t="s">
        <v>383</v>
      </c>
      <c r="G63" s="4" t="s">
        <v>962</v>
      </c>
      <c r="H63" s="4">
        <v>20126068450</v>
      </c>
      <c r="I63" s="4" t="s">
        <v>876</v>
      </c>
      <c r="J63" s="8" t="s">
        <v>382</v>
      </c>
      <c r="K63" s="173">
        <v>973</v>
      </c>
      <c r="L63" s="10">
        <v>700</v>
      </c>
      <c r="M63" s="10">
        <f>+Tabla1[[#This Row],[Neto]]*21%</f>
        <v>147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f>+Tabla1[[#This Row],[Neto]]*3.6%</f>
        <v>25.200000000000003</v>
      </c>
      <c r="T63" s="10">
        <f>+Tabla1[[#This Row],[Neto]]*2.5%</f>
        <v>17.5</v>
      </c>
      <c r="U63" s="10">
        <f>+SUM(Tabla1[[#This Row],[IVA 21%]:[IVA 27%]])</f>
        <v>147</v>
      </c>
      <c r="V63" s="10">
        <f>+SUM(Tabla1[[#This Row],[Neto]:[Impuestos Internos / Otros Tributos]])</f>
        <v>889.7</v>
      </c>
      <c r="W63" s="10">
        <f>+SUM(Tabla1[[#This Row],[Neto]:[Impuestos Internos / Otros Tributos]])</f>
        <v>889.7</v>
      </c>
      <c r="X63" s="10">
        <v>0</v>
      </c>
      <c r="Y63" s="14" t="s">
        <v>325</v>
      </c>
      <c r="Z63" s="14"/>
      <c r="AA63" s="109"/>
      <c r="AB63" s="185"/>
      <c r="AJ63" s="188"/>
    </row>
    <row r="64" spans="1:38" ht="13.95" hidden="1" customHeight="1" x14ac:dyDescent="0.3">
      <c r="A64" s="36" t="s">
        <v>25</v>
      </c>
      <c r="B64" s="55">
        <v>45539</v>
      </c>
      <c r="C64" s="37" t="s">
        <v>26</v>
      </c>
      <c r="D64" s="36" t="s">
        <v>70</v>
      </c>
      <c r="E64" s="45" t="s">
        <v>71</v>
      </c>
      <c r="F64" s="45" t="s">
        <v>72</v>
      </c>
      <c r="G64" s="38" t="s">
        <v>450</v>
      </c>
      <c r="H64" s="38">
        <v>30716633949</v>
      </c>
      <c r="I64" s="38" t="s">
        <v>279</v>
      </c>
      <c r="J64" s="36" t="s">
        <v>381</v>
      </c>
      <c r="K64" s="173">
        <v>1</v>
      </c>
      <c r="L64" s="39">
        <v>2000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f>+SUM(Tabla1[[#This Row],[IVA 21%]:[IVA 27%]])</f>
        <v>0</v>
      </c>
      <c r="V64" s="10">
        <f>+SUM(Tabla1[[#This Row],[Neto]:[Impuestos Internos / Otros Tributos]])</f>
        <v>2000</v>
      </c>
      <c r="W64" s="39">
        <f>+Tabla1[[#This Row],[Total]]</f>
        <v>2000</v>
      </c>
      <c r="X64" s="39"/>
      <c r="Y64" s="10" t="s">
        <v>324</v>
      </c>
      <c r="Z64" s="10"/>
      <c r="AA64" s="107"/>
      <c r="AB64" s="39">
        <v>0</v>
      </c>
      <c r="AC64" s="38"/>
      <c r="AD64" s="38"/>
      <c r="AE64" s="38"/>
      <c r="AF64" s="38"/>
      <c r="AG64" s="38"/>
      <c r="AH64" s="32">
        <f>+Tabla1[[#This Row],[Total a Pagar]]</f>
        <v>2000</v>
      </c>
      <c r="AI64" s="38"/>
      <c r="AJ64" s="188"/>
    </row>
    <row r="65" spans="1:36" ht="13.95" hidden="1" customHeight="1" x14ac:dyDescent="0.3">
      <c r="A65" s="8" t="s">
        <v>25</v>
      </c>
      <c r="B65" s="53">
        <v>45540</v>
      </c>
      <c r="C65" s="12" t="s">
        <v>26</v>
      </c>
      <c r="D65" s="8" t="s">
        <v>58</v>
      </c>
      <c r="E65" s="9" t="s">
        <v>59</v>
      </c>
      <c r="F65" s="9" t="s">
        <v>82</v>
      </c>
      <c r="G65" s="4" t="s">
        <v>61</v>
      </c>
      <c r="H65" s="4">
        <v>30716375184</v>
      </c>
      <c r="I65" s="4" t="s">
        <v>62</v>
      </c>
      <c r="J65" s="8" t="s">
        <v>381</v>
      </c>
      <c r="K65" s="173">
        <v>1</v>
      </c>
      <c r="L65" s="10">
        <v>5100.2</v>
      </c>
      <c r="M65" s="10">
        <v>1071.04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f>+SUM(Tabla1[[#This Row],[IVA 21%]:[IVA 27%]])</f>
        <v>1071.04</v>
      </c>
      <c r="V65" s="10">
        <f>+SUM(Tabla1[[#This Row],[Neto]:[Impuestos Internos / Otros Tributos]])</f>
        <v>6171.24</v>
      </c>
      <c r="W65" s="10">
        <v>6171.24</v>
      </c>
      <c r="X65" s="10"/>
      <c r="Y65" s="10" t="s">
        <v>324</v>
      </c>
      <c r="Z65" s="10"/>
      <c r="AA65" s="110"/>
      <c r="AB65" s="10">
        <v>0</v>
      </c>
      <c r="AC65" s="10"/>
      <c r="AD65" s="10"/>
      <c r="AE65" s="10"/>
      <c r="AF65" s="10"/>
      <c r="AG65" s="10"/>
      <c r="AH65" s="32">
        <v>6171.24</v>
      </c>
      <c r="AI65" s="10"/>
      <c r="AJ65" s="188"/>
    </row>
    <row r="66" spans="1:36" ht="13.95" hidden="1" customHeight="1" x14ac:dyDescent="0.3">
      <c r="A66" s="8" t="s">
        <v>25</v>
      </c>
      <c r="B66" s="53">
        <v>45540</v>
      </c>
      <c r="C66" s="12" t="s">
        <v>26</v>
      </c>
      <c r="D66" s="8" t="s">
        <v>27</v>
      </c>
      <c r="E66" s="9" t="s">
        <v>32</v>
      </c>
      <c r="F66" s="9" t="s">
        <v>137</v>
      </c>
      <c r="G66" s="4" t="s">
        <v>138</v>
      </c>
      <c r="H66" s="4">
        <v>27368038321</v>
      </c>
      <c r="I66" s="4" t="s">
        <v>139</v>
      </c>
      <c r="J66" s="8" t="s">
        <v>381</v>
      </c>
      <c r="K66" s="173">
        <v>1</v>
      </c>
      <c r="L66" s="10">
        <v>400000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f>+SUM(Tabla1[[#This Row],[IVA 21%]:[IVA 27%]])</f>
        <v>0</v>
      </c>
      <c r="V66" s="10">
        <f>+SUM(Tabla1[[#This Row],[Neto]:[Impuestos Internos / Otros Tributos]])</f>
        <v>400000</v>
      </c>
      <c r="W66" s="10">
        <v>400000</v>
      </c>
      <c r="X66" s="10"/>
      <c r="Y66" s="10" t="s">
        <v>324</v>
      </c>
      <c r="Z66" s="10"/>
      <c r="AA66" s="110">
        <v>45548</v>
      </c>
      <c r="AB66" s="32">
        <v>400000</v>
      </c>
      <c r="AC66" s="10"/>
      <c r="AD66" s="10"/>
      <c r="AE66" s="10"/>
      <c r="AF66" s="10"/>
      <c r="AG66" s="10"/>
      <c r="AH66" s="10">
        <v>0</v>
      </c>
      <c r="AI66" s="10"/>
      <c r="AJ66" s="188"/>
    </row>
    <row r="67" spans="1:36" ht="13.95" hidden="1" customHeight="1" x14ac:dyDescent="0.3">
      <c r="A67" s="8" t="s">
        <v>25</v>
      </c>
      <c r="B67" s="53">
        <v>45540</v>
      </c>
      <c r="C67" s="12" t="s">
        <v>26</v>
      </c>
      <c r="D67" s="8" t="s">
        <v>58</v>
      </c>
      <c r="E67" s="9" t="s">
        <v>74</v>
      </c>
      <c r="F67" s="9" t="s">
        <v>123</v>
      </c>
      <c r="G67" s="4" t="s">
        <v>80</v>
      </c>
      <c r="H67" s="4">
        <v>20138455654</v>
      </c>
      <c r="I67" s="4" t="s">
        <v>81</v>
      </c>
      <c r="J67" s="8" t="s">
        <v>381</v>
      </c>
      <c r="K67" s="173">
        <v>1</v>
      </c>
      <c r="L67" s="10">
        <v>5537.19</v>
      </c>
      <c r="M67" s="10">
        <v>1162.81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f>+SUM(Tabla1[[#This Row],[IVA 21%]:[IVA 27%]])</f>
        <v>1162.81</v>
      </c>
      <c r="V67" s="10">
        <f>+SUM(Tabla1[[#This Row],[Neto]:[Impuestos Internos / Otros Tributos]])</f>
        <v>6700</v>
      </c>
      <c r="W67" s="10">
        <f>+Tabla1[[#This Row],[Total]]</f>
        <v>6700</v>
      </c>
      <c r="X67" s="10">
        <v>0</v>
      </c>
      <c r="Y67" s="10" t="s">
        <v>324</v>
      </c>
      <c r="Z67" s="10"/>
      <c r="AA67" s="110"/>
      <c r="AB67" s="10">
        <v>0</v>
      </c>
      <c r="AC67" s="10"/>
      <c r="AD67" s="10"/>
      <c r="AE67" s="10"/>
      <c r="AF67" s="10"/>
      <c r="AG67" s="10"/>
      <c r="AH67" s="32">
        <f>+Tabla1[[#This Row],[Total a Pagar]]</f>
        <v>6700</v>
      </c>
      <c r="AI67" s="10"/>
      <c r="AJ67" s="188"/>
    </row>
    <row r="68" spans="1:36" ht="13.95" hidden="1" customHeight="1" x14ac:dyDescent="0.3">
      <c r="A68" s="8" t="s">
        <v>25</v>
      </c>
      <c r="B68" s="53">
        <v>45540</v>
      </c>
      <c r="C68" s="12" t="s">
        <v>26</v>
      </c>
      <c r="D68" s="8" t="s">
        <v>27</v>
      </c>
      <c r="E68" s="9" t="s">
        <v>28</v>
      </c>
      <c r="F68" s="9" t="s">
        <v>134</v>
      </c>
      <c r="G68" s="4" t="s">
        <v>135</v>
      </c>
      <c r="H68" s="4">
        <v>27958564061</v>
      </c>
      <c r="I68" s="4" t="s">
        <v>136</v>
      </c>
      <c r="J68" s="8" t="s">
        <v>381</v>
      </c>
      <c r="K68" s="173">
        <v>1</v>
      </c>
      <c r="L68" s="10">
        <v>200000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f>+SUM(Tabla1[[#This Row],[IVA 21%]:[IVA 27%]])</f>
        <v>0</v>
      </c>
      <c r="V68" s="10">
        <f>+SUM(Tabla1[[#This Row],[Neto]:[Impuestos Internos / Otros Tributos]])</f>
        <v>200000</v>
      </c>
      <c r="W68" s="10">
        <v>200000</v>
      </c>
      <c r="X68" s="10"/>
      <c r="Y68" s="10" t="s">
        <v>324</v>
      </c>
      <c r="Z68" s="10"/>
      <c r="AA68" s="110">
        <v>45541</v>
      </c>
      <c r="AB68" s="32">
        <v>200000</v>
      </c>
      <c r="AC68" s="10"/>
      <c r="AD68" s="10"/>
      <c r="AE68" s="10"/>
      <c r="AF68" s="10"/>
      <c r="AG68" s="10"/>
      <c r="AH68" s="10">
        <v>0</v>
      </c>
      <c r="AI68" s="10"/>
      <c r="AJ68" s="188"/>
    </row>
    <row r="69" spans="1:36" ht="13.95" hidden="1" customHeight="1" x14ac:dyDescent="0.3">
      <c r="A69" s="8" t="s">
        <v>25</v>
      </c>
      <c r="B69" s="53">
        <v>45540</v>
      </c>
      <c r="C69" s="12" t="s">
        <v>26</v>
      </c>
      <c r="D69" s="8" t="s">
        <v>27</v>
      </c>
      <c r="E69" s="9" t="s">
        <v>37</v>
      </c>
      <c r="F69" s="9" t="s">
        <v>83</v>
      </c>
      <c r="G69" s="4" t="s">
        <v>78</v>
      </c>
      <c r="H69" s="4">
        <v>20105424605</v>
      </c>
      <c r="I69" s="4" t="s">
        <v>277</v>
      </c>
      <c r="J69" s="8" t="s">
        <v>381</v>
      </c>
      <c r="K69" s="173">
        <v>1</v>
      </c>
      <c r="L69" s="10">
        <v>8280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f>+SUM(Tabla1[[#This Row],[IVA 21%]:[IVA 27%]])</f>
        <v>0</v>
      </c>
      <c r="V69" s="10">
        <f>+SUM(Tabla1[[#This Row],[Neto]:[Impuestos Internos / Otros Tributos]])</f>
        <v>8280</v>
      </c>
      <c r="W69" s="10">
        <v>8280</v>
      </c>
      <c r="X69" s="10"/>
      <c r="Y69" s="10" t="s">
        <v>324</v>
      </c>
      <c r="Z69" s="10"/>
      <c r="AA69" s="110"/>
      <c r="AB69" s="10">
        <v>0</v>
      </c>
      <c r="AC69" s="10"/>
      <c r="AD69" s="10"/>
      <c r="AE69" s="10"/>
      <c r="AF69" s="10"/>
      <c r="AG69" s="10"/>
      <c r="AH69" s="32">
        <v>8280</v>
      </c>
      <c r="AI69" s="10"/>
      <c r="AJ69" s="188"/>
    </row>
    <row r="70" spans="1:36" ht="13.95" hidden="1" customHeight="1" x14ac:dyDescent="0.3">
      <c r="A70" s="8" t="s">
        <v>25</v>
      </c>
      <c r="B70" s="53">
        <v>45540</v>
      </c>
      <c r="C70" s="12" t="s">
        <v>26</v>
      </c>
      <c r="D70" s="8" t="s">
        <v>58</v>
      </c>
      <c r="E70" s="9" t="s">
        <v>84</v>
      </c>
      <c r="F70" s="9" t="s">
        <v>85</v>
      </c>
      <c r="G70" s="4" t="s">
        <v>86</v>
      </c>
      <c r="H70" s="4">
        <v>30711794286</v>
      </c>
      <c r="I70" s="4" t="s">
        <v>87</v>
      </c>
      <c r="J70" s="8" t="s">
        <v>381</v>
      </c>
      <c r="K70" s="173">
        <v>1</v>
      </c>
      <c r="L70" s="10">
        <v>28859.5</v>
      </c>
      <c r="M70" s="10">
        <v>6060.5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f>+SUM(Tabla1[[#This Row],[IVA 21%]:[IVA 27%]])</f>
        <v>6060.5</v>
      </c>
      <c r="V70" s="10">
        <f>+SUM(Tabla1[[#This Row],[Neto]:[Impuestos Internos / Otros Tributos]])</f>
        <v>34920</v>
      </c>
      <c r="W70" s="10">
        <v>34920</v>
      </c>
      <c r="X70" s="10"/>
      <c r="Y70" s="10" t="s">
        <v>324</v>
      </c>
      <c r="Z70" s="10"/>
      <c r="AA70" s="110"/>
      <c r="AB70" s="10">
        <v>0</v>
      </c>
      <c r="AC70" s="10"/>
      <c r="AD70" s="10"/>
      <c r="AE70" s="10"/>
      <c r="AF70" s="10"/>
      <c r="AG70" s="10"/>
      <c r="AH70" s="32">
        <v>34920</v>
      </c>
      <c r="AI70" s="10"/>
      <c r="AJ70" s="188"/>
    </row>
    <row r="71" spans="1:36" ht="13.95" hidden="1" customHeight="1" x14ac:dyDescent="0.3">
      <c r="A71" s="8" t="s">
        <v>25</v>
      </c>
      <c r="B71" s="53">
        <v>45540</v>
      </c>
      <c r="C71" s="12" t="s">
        <v>26</v>
      </c>
      <c r="D71" s="8" t="s">
        <v>58</v>
      </c>
      <c r="E71" s="9" t="s">
        <v>32</v>
      </c>
      <c r="F71" s="9" t="s">
        <v>329</v>
      </c>
      <c r="G71" s="4" t="s">
        <v>315</v>
      </c>
      <c r="H71" s="4">
        <v>33631274329</v>
      </c>
      <c r="I71" s="4" t="s">
        <v>330</v>
      </c>
      <c r="J71" s="8" t="s">
        <v>381</v>
      </c>
      <c r="K71" s="173">
        <v>1</v>
      </c>
      <c r="L71" s="10">
        <v>42200</v>
      </c>
      <c r="M71" s="10">
        <f>+Tabla1[[#This Row],[Neto]]*21%</f>
        <v>8862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f>+Tabla1[[#This Row],[Neto]]*3.6%</f>
        <v>1519.2000000000003</v>
      </c>
      <c r="T71" s="10">
        <v>0</v>
      </c>
      <c r="U71" s="10">
        <f>+SUM(Tabla1[[#This Row],[IVA 21%]:[IVA 27%]])</f>
        <v>8862</v>
      </c>
      <c r="V71" s="10">
        <f>+SUM(Tabla1[[#This Row],[Neto]:[Impuestos Internos / Otros Tributos]])</f>
        <v>52581.2</v>
      </c>
      <c r="W71" s="10">
        <f>+Tabla1[[#This Row],[Total]]</f>
        <v>52581.2</v>
      </c>
      <c r="X71" s="10"/>
      <c r="Y71" s="14" t="s">
        <v>325</v>
      </c>
      <c r="Z71" s="14"/>
      <c r="AA71" s="109"/>
      <c r="AJ71" s="188"/>
    </row>
    <row r="72" spans="1:36" ht="13.95" hidden="1" customHeight="1" x14ac:dyDescent="0.3">
      <c r="A72" s="8" t="s">
        <v>25</v>
      </c>
      <c r="B72" s="53">
        <v>45540</v>
      </c>
      <c r="C72" s="12" t="s">
        <v>26</v>
      </c>
      <c r="D72" s="8" t="s">
        <v>58</v>
      </c>
      <c r="E72" s="9" t="s">
        <v>32</v>
      </c>
      <c r="F72" s="9" t="s">
        <v>331</v>
      </c>
      <c r="G72" s="4" t="s">
        <v>315</v>
      </c>
      <c r="H72" s="4">
        <v>33631274329</v>
      </c>
      <c r="I72" s="4" t="s">
        <v>332</v>
      </c>
      <c r="J72" s="8" t="s">
        <v>381</v>
      </c>
      <c r="K72" s="173">
        <v>1</v>
      </c>
      <c r="L72" s="10">
        <v>727150</v>
      </c>
      <c r="M72" s="10">
        <f>+Tabla1[[#This Row],[Neto]]*21%</f>
        <v>152701.5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f>+Tabla1[[#This Row],[Neto]]*3.6%</f>
        <v>26177.4</v>
      </c>
      <c r="T72" s="10">
        <v>0</v>
      </c>
      <c r="U72" s="10">
        <f>+SUM(Tabla1[[#This Row],[IVA 21%]:[IVA 27%]])</f>
        <v>152701.5</v>
      </c>
      <c r="V72" s="10">
        <f>+SUM(Tabla1[[#This Row],[Neto]:[Impuestos Internos / Otros Tributos]])</f>
        <v>906028.9</v>
      </c>
      <c r="W72" s="10">
        <f>+Tabla1[[#This Row],[Total]]</f>
        <v>906028.9</v>
      </c>
      <c r="X72" s="10"/>
      <c r="Y72" s="14" t="s">
        <v>325</v>
      </c>
      <c r="Z72" s="14"/>
      <c r="AA72" s="109"/>
      <c r="AJ72" s="188"/>
    </row>
    <row r="73" spans="1:36" ht="13.95" hidden="1" customHeight="1" x14ac:dyDescent="0.3">
      <c r="A73" s="102" t="s">
        <v>25</v>
      </c>
      <c r="B73" s="103">
        <v>45540</v>
      </c>
      <c r="C73" s="12" t="s">
        <v>26</v>
      </c>
      <c r="D73" s="8" t="s">
        <v>27</v>
      </c>
      <c r="E73" s="9" t="s">
        <v>32</v>
      </c>
      <c r="F73" s="9" t="s">
        <v>435</v>
      </c>
      <c r="G73" s="4" t="s">
        <v>793</v>
      </c>
      <c r="H73" s="4">
        <v>20139171927</v>
      </c>
      <c r="I73" s="4" t="s">
        <v>800</v>
      </c>
      <c r="J73" s="8" t="s">
        <v>381</v>
      </c>
      <c r="K73" s="173">
        <v>1</v>
      </c>
      <c r="L73" s="105">
        <v>12000</v>
      </c>
      <c r="M73" s="105">
        <v>0</v>
      </c>
      <c r="N73" s="105">
        <v>0</v>
      </c>
      <c r="O73" s="105">
        <v>0</v>
      </c>
      <c r="P73" s="105">
        <v>0</v>
      </c>
      <c r="Q73" s="105">
        <v>0</v>
      </c>
      <c r="R73" s="105">
        <v>0</v>
      </c>
      <c r="S73" s="105">
        <v>0</v>
      </c>
      <c r="T73" s="105">
        <v>0</v>
      </c>
      <c r="U73" s="105">
        <f>+SUM(Tabla1[[#This Row],[IVA 21%]:[IVA 27%]])</f>
        <v>0</v>
      </c>
      <c r="V73" s="10">
        <f>+SUM(Tabla1[[#This Row],[Neto]:[Impuestos Internos / Otros Tributos]])</f>
        <v>12000</v>
      </c>
      <c r="W73" s="10">
        <f>+Tabla1[[#This Row],[Total]]</f>
        <v>12000</v>
      </c>
      <c r="X73" s="105"/>
      <c r="Y73" s="119" t="s">
        <v>325</v>
      </c>
      <c r="Z73" s="119"/>
      <c r="AA73" s="117"/>
      <c r="AB73" s="105"/>
      <c r="AC73" s="104"/>
      <c r="AD73" s="104"/>
      <c r="AE73" s="104"/>
      <c r="AF73" s="104"/>
      <c r="AG73" s="104"/>
      <c r="AH73" s="105"/>
      <c r="AI73" s="104"/>
      <c r="AJ73" s="188"/>
    </row>
    <row r="74" spans="1:36" ht="13.95" customHeight="1" x14ac:dyDescent="0.3">
      <c r="A74" s="244" t="s">
        <v>25</v>
      </c>
      <c r="B74" s="245">
        <v>45541</v>
      </c>
      <c r="C74" s="246" t="s">
        <v>26</v>
      </c>
      <c r="D74" s="244" t="s">
        <v>58</v>
      </c>
      <c r="E74" s="235" t="s">
        <v>32</v>
      </c>
      <c r="F74" s="235" t="s">
        <v>149</v>
      </c>
      <c r="G74" s="243" t="s">
        <v>146</v>
      </c>
      <c r="H74" s="243">
        <v>33716385359</v>
      </c>
      <c r="I74" s="243" t="s">
        <v>142</v>
      </c>
      <c r="J74" s="8" t="s">
        <v>381</v>
      </c>
      <c r="K74" s="173">
        <v>1</v>
      </c>
      <c r="L74" s="229">
        <v>0</v>
      </c>
      <c r="M74" s="229">
        <v>0</v>
      </c>
      <c r="N74" s="10">
        <v>0</v>
      </c>
      <c r="O74" s="10">
        <v>0</v>
      </c>
      <c r="P74" s="10">
        <v>0</v>
      </c>
      <c r="Q74" s="229">
        <v>45550</v>
      </c>
      <c r="R74" s="10">
        <v>0</v>
      </c>
      <c r="S74" s="229">
        <v>1639.8</v>
      </c>
      <c r="T74" s="10">
        <v>0</v>
      </c>
      <c r="U74" s="229">
        <f>+SUM(Tabla1[[#This Row],[IVA 21%]:[IVA 27%]])</f>
        <v>0</v>
      </c>
      <c r="V74" s="229">
        <f>+SUM(Tabla1[[#This Row],[Neto]:[Impuestos Internos / Otros Tributos]])</f>
        <v>47189.8</v>
      </c>
      <c r="W74" s="229">
        <v>47189.8</v>
      </c>
      <c r="X74" s="229">
        <v>0</v>
      </c>
      <c r="Y74" s="229" t="s">
        <v>324</v>
      </c>
      <c r="Z74" s="229"/>
      <c r="AA74" s="247">
        <v>45583</v>
      </c>
      <c r="AB74" s="229"/>
      <c r="AC74" s="10"/>
      <c r="AD74" s="10"/>
      <c r="AE74" s="10"/>
      <c r="AF74" s="10"/>
      <c r="AG74" s="10"/>
      <c r="AI74" s="10"/>
      <c r="AJ74" s="4" t="s">
        <v>963</v>
      </c>
    </row>
    <row r="75" spans="1:36" ht="13.95" customHeight="1" x14ac:dyDescent="0.3">
      <c r="A75" s="244" t="s">
        <v>25</v>
      </c>
      <c r="B75" s="245">
        <v>45541</v>
      </c>
      <c r="C75" s="246" t="s">
        <v>26</v>
      </c>
      <c r="D75" s="244" t="s">
        <v>58</v>
      </c>
      <c r="E75" s="235" t="s">
        <v>32</v>
      </c>
      <c r="F75" s="235" t="s">
        <v>209</v>
      </c>
      <c r="G75" s="243" t="s">
        <v>146</v>
      </c>
      <c r="H75" s="243">
        <v>33716385359</v>
      </c>
      <c r="I75" s="243" t="s">
        <v>142</v>
      </c>
      <c r="J75" s="8" t="s">
        <v>381</v>
      </c>
      <c r="K75" s="173">
        <v>1</v>
      </c>
      <c r="L75" s="229">
        <v>100000</v>
      </c>
      <c r="M75" s="229">
        <f>+L75*21%</f>
        <v>21000</v>
      </c>
      <c r="N75" s="10">
        <v>0</v>
      </c>
      <c r="O75" s="10">
        <v>0</v>
      </c>
      <c r="P75" s="10">
        <v>0</v>
      </c>
      <c r="Q75" s="229">
        <v>0</v>
      </c>
      <c r="R75" s="10">
        <v>0</v>
      </c>
      <c r="S75" s="229">
        <f>+L75*3.6%</f>
        <v>3600.0000000000005</v>
      </c>
      <c r="T75" s="10">
        <v>0</v>
      </c>
      <c r="U75" s="229">
        <f>+SUM(Tabla1[[#This Row],[IVA 21%]:[IVA 27%]])</f>
        <v>21000</v>
      </c>
      <c r="V75" s="229">
        <f>+SUM(Tabla1[[#This Row],[Neto]:[Impuestos Internos / Otros Tributos]])</f>
        <v>124600</v>
      </c>
      <c r="W75" s="229">
        <f>+V75</f>
        <v>124600</v>
      </c>
      <c r="X75" s="229">
        <v>0</v>
      </c>
      <c r="Y75" s="229" t="s">
        <v>324</v>
      </c>
      <c r="Z75" s="229"/>
      <c r="AA75" s="247">
        <v>45583</v>
      </c>
      <c r="AB75" s="229"/>
      <c r="AC75" s="10"/>
      <c r="AD75" s="10"/>
      <c r="AE75" s="10"/>
      <c r="AF75" s="10"/>
      <c r="AG75" s="10"/>
      <c r="AI75" s="10"/>
      <c r="AJ75" s="4" t="s">
        <v>963</v>
      </c>
    </row>
    <row r="76" spans="1:36" ht="13.95" hidden="1" customHeight="1" x14ac:dyDescent="0.3">
      <c r="A76" s="8" t="s">
        <v>25</v>
      </c>
      <c r="B76" s="53">
        <v>45541</v>
      </c>
      <c r="C76" s="12" t="s">
        <v>26</v>
      </c>
      <c r="D76" s="8" t="s">
        <v>58</v>
      </c>
      <c r="E76" s="9" t="s">
        <v>124</v>
      </c>
      <c r="F76" s="9" t="s">
        <v>127</v>
      </c>
      <c r="G76" s="4" t="s">
        <v>126</v>
      </c>
      <c r="H76" s="4">
        <v>30716596831</v>
      </c>
      <c r="I76" s="4" t="s">
        <v>463</v>
      </c>
      <c r="J76" s="8" t="s">
        <v>381</v>
      </c>
      <c r="K76" s="173">
        <v>1</v>
      </c>
      <c r="L76" s="10">
        <v>8677.69</v>
      </c>
      <c r="M76" s="10">
        <v>1822.31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f>+SUM(Tabla1[[#This Row],[IVA 21%]:[IVA 27%]])</f>
        <v>1822.31</v>
      </c>
      <c r="V76" s="10">
        <f>+SUM(Tabla1[[#This Row],[Neto]:[Impuestos Internos / Otros Tributos]])</f>
        <v>10500</v>
      </c>
      <c r="W76" s="10">
        <v>10500</v>
      </c>
      <c r="X76" s="10">
        <v>0</v>
      </c>
      <c r="Y76" s="10" t="s">
        <v>324</v>
      </c>
      <c r="Z76" s="10"/>
      <c r="AA76" s="109"/>
      <c r="AB76" s="26"/>
      <c r="AC76" s="10"/>
      <c r="AD76" s="10"/>
      <c r="AE76" s="10"/>
      <c r="AF76" s="10"/>
      <c r="AG76" s="10"/>
      <c r="AI76" s="10"/>
      <c r="AJ76" s="188"/>
    </row>
    <row r="77" spans="1:36" ht="13.95" hidden="1" customHeight="1" x14ac:dyDescent="0.3">
      <c r="A77" s="8" t="s">
        <v>25</v>
      </c>
      <c r="B77" s="53">
        <v>45541</v>
      </c>
      <c r="C77" s="12" t="s">
        <v>410</v>
      </c>
      <c r="D77" s="8" t="s">
        <v>58</v>
      </c>
      <c r="E77" s="9" t="s">
        <v>74</v>
      </c>
      <c r="F77" s="9" t="s">
        <v>385</v>
      </c>
      <c r="G77" s="4" t="s">
        <v>427</v>
      </c>
      <c r="H77" s="4">
        <v>30580639034</v>
      </c>
      <c r="I77" s="4" t="s">
        <v>428</v>
      </c>
      <c r="J77" s="8" t="s">
        <v>381</v>
      </c>
      <c r="K77" s="173">
        <v>1</v>
      </c>
      <c r="L77" s="10">
        <v>34293.5</v>
      </c>
      <c r="M77" s="10">
        <f>+Tabla1[[#This Row],[Neto]]*21%</f>
        <v>7201.6349999999993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f>+SUM(Tabla1[[#This Row],[IVA 21%]:[IVA 27%]])</f>
        <v>7201.6349999999993</v>
      </c>
      <c r="V77" s="10">
        <f>+SUM(Tabla1[[#This Row],[Neto]:[Impuestos Internos / Otros Tributos]])</f>
        <v>41495.135000000002</v>
      </c>
      <c r="W77" s="10">
        <f>+Tabla1[[#This Row],[Total]]</f>
        <v>41495.135000000002</v>
      </c>
      <c r="X77" s="10">
        <v>0</v>
      </c>
      <c r="Y77" s="10" t="s">
        <v>324</v>
      </c>
      <c r="Z77" s="10"/>
      <c r="AA77" s="109">
        <v>45623</v>
      </c>
      <c r="AJ77" s="188"/>
    </row>
    <row r="78" spans="1:36" ht="13.95" hidden="1" customHeight="1" x14ac:dyDescent="0.3">
      <c r="A78" s="8" t="s">
        <v>25</v>
      </c>
      <c r="B78" s="53">
        <v>45541</v>
      </c>
      <c r="C78" s="12" t="s">
        <v>26</v>
      </c>
      <c r="D78" s="8" t="s">
        <v>58</v>
      </c>
      <c r="E78" s="9" t="s">
        <v>32</v>
      </c>
      <c r="F78" s="9" t="s">
        <v>214</v>
      </c>
      <c r="G78" s="4" t="s">
        <v>212</v>
      </c>
      <c r="H78" s="4">
        <v>30709462306</v>
      </c>
      <c r="I78" s="4" t="s">
        <v>213</v>
      </c>
      <c r="J78" s="8" t="s">
        <v>381</v>
      </c>
      <c r="K78" s="173">
        <v>1</v>
      </c>
      <c r="L78" s="10">
        <v>677078</v>
      </c>
      <c r="M78" s="10">
        <f>+L78*21%</f>
        <v>142186.38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f>+SUM(Tabla1[[#This Row],[IVA 21%]:[IVA 27%]])</f>
        <v>142186.38</v>
      </c>
      <c r="V78" s="10">
        <f>+SUM(Tabla1[[#This Row],[Neto]:[Impuestos Internos / Otros Tributos]])</f>
        <v>819264.38</v>
      </c>
      <c r="W78" s="10">
        <f>+Tabla1[[#This Row],[Total]]</f>
        <v>819264.38</v>
      </c>
      <c r="X78" s="10"/>
      <c r="Y78" s="10" t="s">
        <v>324</v>
      </c>
      <c r="Z78" s="10"/>
      <c r="AA78" s="110">
        <v>45562</v>
      </c>
      <c r="AB78" s="76">
        <f>+Tabla1[[#This Row],[Total a Pagar]]</f>
        <v>819264.38</v>
      </c>
      <c r="AH78" s="10">
        <v>0</v>
      </c>
      <c r="AJ78" s="188"/>
    </row>
    <row r="79" spans="1:36" ht="13.95" hidden="1" customHeight="1" x14ac:dyDescent="0.3">
      <c r="A79" s="8" t="s">
        <v>25</v>
      </c>
      <c r="B79" s="53">
        <v>45541</v>
      </c>
      <c r="C79" s="12" t="s">
        <v>26</v>
      </c>
      <c r="D79" s="8" t="s">
        <v>70</v>
      </c>
      <c r="E79" s="9" t="s">
        <v>211</v>
      </c>
      <c r="F79" s="9" t="s">
        <v>714</v>
      </c>
      <c r="G79" s="4" t="s">
        <v>444</v>
      </c>
      <c r="H79" s="4">
        <v>20202328734</v>
      </c>
      <c r="I79" s="4" t="s">
        <v>715</v>
      </c>
      <c r="J79" s="8" t="s">
        <v>381</v>
      </c>
      <c r="K79" s="173">
        <v>1</v>
      </c>
      <c r="L79" s="10">
        <v>3680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f>+SUM(Tabla1[[#This Row],[IVA 21%]:[IVA 27%]])</f>
        <v>0</v>
      </c>
      <c r="V79" s="10">
        <f>+SUM(Tabla1[[#This Row],[Neto]:[Impuestos Internos / Otros Tributos]])</f>
        <v>3680</v>
      </c>
      <c r="W79" s="10">
        <f>+Tabla1[[#This Row],[Total]]</f>
        <v>3680</v>
      </c>
      <c r="X79" s="10">
        <v>0</v>
      </c>
      <c r="Y79" s="49" t="s">
        <v>324</v>
      </c>
      <c r="AA79" s="109"/>
      <c r="AH79" s="32">
        <f>+Tabla1[[#This Row],[Total a Pagar]]</f>
        <v>3680</v>
      </c>
      <c r="AJ79" s="188"/>
    </row>
    <row r="80" spans="1:36" ht="13.95" hidden="1" customHeight="1" x14ac:dyDescent="0.3">
      <c r="A80" s="8" t="s">
        <v>25</v>
      </c>
      <c r="B80" s="53">
        <v>45542</v>
      </c>
      <c r="C80" s="12" t="s">
        <v>26</v>
      </c>
      <c r="D80" s="8" t="s">
        <v>58</v>
      </c>
      <c r="E80" s="9" t="s">
        <v>774</v>
      </c>
      <c r="F80" s="9" t="s">
        <v>775</v>
      </c>
      <c r="G80" s="4" t="s">
        <v>772</v>
      </c>
      <c r="H80" s="4">
        <v>30639453738</v>
      </c>
      <c r="I80" s="4" t="s">
        <v>773</v>
      </c>
      <c r="J80" s="8" t="s">
        <v>381</v>
      </c>
      <c r="K80" s="173">
        <v>1</v>
      </c>
      <c r="L80" s="10">
        <f>48729.04-16240+13760.33+801.84</f>
        <v>47051.21</v>
      </c>
      <c r="M80" s="10">
        <v>0</v>
      </c>
      <c r="N80" s="10">
        <v>0</v>
      </c>
      <c r="O80" s="10">
        <v>3931.79</v>
      </c>
      <c r="P80" s="10">
        <v>0</v>
      </c>
      <c r="Q80" s="10">
        <v>0</v>
      </c>
      <c r="R80" s="10">
        <v>436.87</v>
      </c>
      <c r="S80" s="10">
        <v>0</v>
      </c>
      <c r="T80" s="10">
        <v>0</v>
      </c>
      <c r="U80" s="10">
        <f>+SUM(Tabla1[[#This Row],[IVA 21%]:[IVA 27%]])</f>
        <v>3931.79</v>
      </c>
      <c r="V80" s="10">
        <f>+SUM(Tabla1[[#This Row],[Neto]:[Impuestos Internos / Otros Tributos]])</f>
        <v>51419.87</v>
      </c>
      <c r="W80" s="82">
        <f>+Tabla1[[#This Row],[Total]]</f>
        <v>51419.87</v>
      </c>
      <c r="X80" s="10">
        <v>0</v>
      </c>
      <c r="Y80" s="49" t="s">
        <v>324</v>
      </c>
      <c r="AA80" s="109">
        <v>45579</v>
      </c>
      <c r="AB80" s="10">
        <v>0</v>
      </c>
      <c r="AH80" s="32">
        <f>+Tabla1[[#This Row],[Total a Pagar]]</f>
        <v>51419.87</v>
      </c>
      <c r="AJ80" s="188"/>
    </row>
    <row r="81" spans="1:36" ht="13.95" hidden="1" customHeight="1" x14ac:dyDescent="0.3">
      <c r="A81" s="8" t="s">
        <v>25</v>
      </c>
      <c r="B81" s="53">
        <v>45543</v>
      </c>
      <c r="C81" s="12" t="s">
        <v>26</v>
      </c>
      <c r="D81" s="8" t="s">
        <v>58</v>
      </c>
      <c r="E81" s="9">
        <v>1326</v>
      </c>
      <c r="F81" s="9" t="s">
        <v>88</v>
      </c>
      <c r="G81" s="4" t="s">
        <v>89</v>
      </c>
      <c r="H81" s="4">
        <v>30663288497</v>
      </c>
      <c r="I81" s="4" t="s">
        <v>275</v>
      </c>
      <c r="J81" s="8" t="s">
        <v>381</v>
      </c>
      <c r="K81" s="173">
        <v>1</v>
      </c>
      <c r="L81" s="10">
        <v>48984.09</v>
      </c>
      <c r="M81" s="10">
        <v>6762</v>
      </c>
      <c r="N81" s="10">
        <v>0</v>
      </c>
      <c r="O81" s="10">
        <v>4531.7</v>
      </c>
      <c r="P81" s="10">
        <v>0</v>
      </c>
      <c r="Q81" s="10">
        <v>0</v>
      </c>
      <c r="R81" s="10">
        <v>1469.52</v>
      </c>
      <c r="S81" s="10">
        <v>1763.43</v>
      </c>
      <c r="T81" s="10">
        <v>836.63</v>
      </c>
      <c r="U81" s="10">
        <f>+SUM(Tabla1[[#This Row],[IVA 21%]:[IVA 27%]])</f>
        <v>11293.7</v>
      </c>
      <c r="V81" s="10">
        <f>+SUM(Tabla1[[#This Row],[Neto]:[Impuestos Internos / Otros Tributos]])</f>
        <v>64347.369999999988</v>
      </c>
      <c r="W81" s="10">
        <v>64347.369999999988</v>
      </c>
      <c r="X81" s="10">
        <v>0</v>
      </c>
      <c r="Y81" s="10" t="s">
        <v>324</v>
      </c>
      <c r="Z81" s="10"/>
      <c r="AA81" s="110"/>
      <c r="AB81" s="10">
        <v>0</v>
      </c>
      <c r="AC81" s="10"/>
      <c r="AD81" s="10"/>
      <c r="AE81" s="10"/>
      <c r="AF81" s="10"/>
      <c r="AG81" s="10"/>
      <c r="AH81" s="32">
        <v>64347.369999999988</v>
      </c>
      <c r="AI81" s="10"/>
      <c r="AJ81" s="188"/>
    </row>
    <row r="82" spans="1:36" ht="13.95" hidden="1" customHeight="1" x14ac:dyDescent="0.3">
      <c r="A82" s="8" t="s">
        <v>25</v>
      </c>
      <c r="B82" s="53">
        <v>45544</v>
      </c>
      <c r="C82" s="12" t="s">
        <v>26</v>
      </c>
      <c r="D82" s="8" t="s">
        <v>27</v>
      </c>
      <c r="E82" s="9" t="s">
        <v>37</v>
      </c>
      <c r="F82" s="9" t="s">
        <v>90</v>
      </c>
      <c r="G82" s="4" t="s">
        <v>78</v>
      </c>
      <c r="H82" s="4">
        <v>20105424605</v>
      </c>
      <c r="I82" s="4" t="s">
        <v>277</v>
      </c>
      <c r="J82" s="8" t="s">
        <v>381</v>
      </c>
      <c r="K82" s="173">
        <v>1</v>
      </c>
      <c r="L82" s="10">
        <v>18450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f>+SUM(Tabla1[[#This Row],[IVA 21%]:[IVA 27%]])</f>
        <v>0</v>
      </c>
      <c r="V82" s="10">
        <f>+SUM(Tabla1[[#This Row],[Neto]:[Impuestos Internos / Otros Tributos]])</f>
        <v>18450</v>
      </c>
      <c r="W82" s="10">
        <v>18450</v>
      </c>
      <c r="X82" s="10"/>
      <c r="Y82" s="10" t="s">
        <v>324</v>
      </c>
      <c r="Z82" s="10"/>
      <c r="AA82" s="110"/>
      <c r="AB82" s="10">
        <v>0</v>
      </c>
      <c r="AC82" s="10"/>
      <c r="AD82" s="10"/>
      <c r="AE82" s="10"/>
      <c r="AF82" s="10"/>
      <c r="AG82" s="10"/>
      <c r="AH82" s="32">
        <v>18450</v>
      </c>
      <c r="AI82" s="10"/>
      <c r="AJ82" s="188"/>
    </row>
    <row r="83" spans="1:36" ht="13.95" hidden="1" customHeight="1" x14ac:dyDescent="0.3">
      <c r="A83" s="8" t="s">
        <v>25</v>
      </c>
      <c r="B83" s="53">
        <v>45544</v>
      </c>
      <c r="C83" s="12" t="s">
        <v>26</v>
      </c>
      <c r="D83" s="8" t="s">
        <v>27</v>
      </c>
      <c r="E83" s="9" t="s">
        <v>37</v>
      </c>
      <c r="F83" s="9" t="s">
        <v>91</v>
      </c>
      <c r="G83" s="4" t="s">
        <v>78</v>
      </c>
      <c r="H83" s="4">
        <v>20105424605</v>
      </c>
      <c r="I83" s="4" t="s">
        <v>277</v>
      </c>
      <c r="J83" s="8" t="s">
        <v>381</v>
      </c>
      <c r="K83" s="173">
        <v>1</v>
      </c>
      <c r="L83" s="10">
        <v>6300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f>+SUM(Tabla1[[#This Row],[IVA 21%]:[IVA 27%]])</f>
        <v>0</v>
      </c>
      <c r="V83" s="10">
        <f>+SUM(Tabla1[[#This Row],[Neto]:[Impuestos Internos / Otros Tributos]])</f>
        <v>6300</v>
      </c>
      <c r="W83" s="10">
        <v>6300</v>
      </c>
      <c r="X83" s="10"/>
      <c r="Y83" s="10" t="s">
        <v>324</v>
      </c>
      <c r="Z83" s="10"/>
      <c r="AA83" s="110"/>
      <c r="AB83" s="10">
        <v>0</v>
      </c>
      <c r="AC83" s="10"/>
      <c r="AD83" s="10"/>
      <c r="AE83" s="10"/>
      <c r="AF83" s="10"/>
      <c r="AG83" s="10"/>
      <c r="AH83" s="32">
        <v>6300</v>
      </c>
      <c r="AI83" s="10"/>
      <c r="AJ83" s="188"/>
    </row>
    <row r="84" spans="1:36" ht="13.95" hidden="1" customHeight="1" x14ac:dyDescent="0.3">
      <c r="A84" s="8" t="s">
        <v>25</v>
      </c>
      <c r="B84" s="53">
        <v>45544</v>
      </c>
      <c r="C84" s="12" t="s">
        <v>26</v>
      </c>
      <c r="D84" s="8" t="s">
        <v>27</v>
      </c>
      <c r="E84" s="9" t="s">
        <v>37</v>
      </c>
      <c r="F84" s="9" t="s">
        <v>92</v>
      </c>
      <c r="G84" s="4" t="s">
        <v>78</v>
      </c>
      <c r="H84" s="4">
        <v>20105424605</v>
      </c>
      <c r="I84" s="4" t="s">
        <v>277</v>
      </c>
      <c r="J84" s="8" t="s">
        <v>381</v>
      </c>
      <c r="K84" s="173">
        <v>1</v>
      </c>
      <c r="L84" s="10">
        <v>480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f>+SUM(Tabla1[[#This Row],[IVA 21%]:[IVA 27%]])</f>
        <v>0</v>
      </c>
      <c r="V84" s="10">
        <f>+SUM(Tabla1[[#This Row],[Neto]:[Impuestos Internos / Otros Tributos]])</f>
        <v>480</v>
      </c>
      <c r="W84" s="10">
        <v>480</v>
      </c>
      <c r="X84" s="10"/>
      <c r="Y84" s="10" t="s">
        <v>324</v>
      </c>
      <c r="Z84" s="10"/>
      <c r="AA84" s="110"/>
      <c r="AB84" s="10">
        <v>0</v>
      </c>
      <c r="AC84" s="10"/>
      <c r="AD84" s="10"/>
      <c r="AE84" s="10"/>
      <c r="AF84" s="10"/>
      <c r="AG84" s="10"/>
      <c r="AH84" s="32">
        <v>480</v>
      </c>
      <c r="AI84" s="10"/>
      <c r="AJ84" s="188"/>
    </row>
    <row r="85" spans="1:36" ht="13.95" hidden="1" customHeight="1" x14ac:dyDescent="0.3">
      <c r="A85" s="8" t="s">
        <v>25</v>
      </c>
      <c r="B85" s="53">
        <v>45544</v>
      </c>
      <c r="C85" s="12" t="s">
        <v>26</v>
      </c>
      <c r="D85" s="8" t="s">
        <v>58</v>
      </c>
      <c r="E85" s="9" t="s">
        <v>93</v>
      </c>
      <c r="F85" s="9" t="s">
        <v>94</v>
      </c>
      <c r="G85" s="4" t="s">
        <v>95</v>
      </c>
      <c r="H85" s="4">
        <v>30583516790</v>
      </c>
      <c r="I85" s="4" t="s">
        <v>96</v>
      </c>
      <c r="J85" s="8" t="s">
        <v>381</v>
      </c>
      <c r="K85" s="173">
        <v>1</v>
      </c>
      <c r="L85" s="10">
        <v>3430.85</v>
      </c>
      <c r="M85" s="10">
        <v>720.48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f>+SUM(Tabla1[[#This Row],[IVA 21%]:[IVA 27%]])</f>
        <v>720.48</v>
      </c>
      <c r="V85" s="10">
        <f>+SUM(Tabla1[[#This Row],[Neto]:[Impuestos Internos / Otros Tributos]])</f>
        <v>4151.33</v>
      </c>
      <c r="W85" s="10">
        <f>+Tabla1[[#This Row],[Total]]</f>
        <v>4151.33</v>
      </c>
      <c r="X85" s="10">
        <v>0</v>
      </c>
      <c r="Y85" s="10" t="s">
        <v>324</v>
      </c>
      <c r="Z85" s="10"/>
      <c r="AA85" s="110"/>
      <c r="AB85" s="10">
        <v>0</v>
      </c>
      <c r="AC85" s="10"/>
      <c r="AD85" s="10"/>
      <c r="AE85" s="10"/>
      <c r="AF85" s="10"/>
      <c r="AG85" s="10"/>
      <c r="AH85" s="32">
        <v>4151.33</v>
      </c>
      <c r="AI85" s="10"/>
      <c r="AJ85" s="188"/>
    </row>
    <row r="86" spans="1:36" ht="13.95" hidden="1" customHeight="1" x14ac:dyDescent="0.3">
      <c r="A86" s="8" t="s">
        <v>25</v>
      </c>
      <c r="B86" s="53">
        <v>45544</v>
      </c>
      <c r="C86" s="12" t="s">
        <v>26</v>
      </c>
      <c r="D86" s="8" t="s">
        <v>58</v>
      </c>
      <c r="E86" s="9" t="s">
        <v>37</v>
      </c>
      <c r="F86" s="9" t="s">
        <v>397</v>
      </c>
      <c r="G86" s="4" t="s">
        <v>131</v>
      </c>
      <c r="H86" s="4">
        <v>30712291237</v>
      </c>
      <c r="I86" s="4" t="s">
        <v>132</v>
      </c>
      <c r="J86" s="8" t="s">
        <v>381</v>
      </c>
      <c r="K86" s="173">
        <v>1</v>
      </c>
      <c r="L86" s="10">
        <v>280860</v>
      </c>
      <c r="M86" s="10">
        <v>58980.6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f>+SUM(Tabla1[[#This Row],[IVA 21%]:[IVA 27%]])</f>
        <v>58980.6</v>
      </c>
      <c r="V86" s="10">
        <f>+SUM(Tabla1[[#This Row],[Neto]:[Impuestos Internos / Otros Tributos]])</f>
        <v>339840.6</v>
      </c>
      <c r="W86" s="10">
        <f>+Tabla1[[#This Row],[Total]]</f>
        <v>339840.6</v>
      </c>
      <c r="X86" s="10">
        <f>+(Tabla1[[#This Row],[Neto]]-224000)*2%</f>
        <v>1137.2</v>
      </c>
      <c r="Y86" s="14" t="s">
        <v>324</v>
      </c>
      <c r="Z86" s="14"/>
      <c r="AA86" s="109">
        <v>45583</v>
      </c>
      <c r="AB86" s="32">
        <f>+Tabla1[[#This Row],[Total a Pagar]]-Tabla1[[#This Row],[SICORE]]</f>
        <v>338703.39999999997</v>
      </c>
      <c r="AH86" s="10">
        <v>0</v>
      </c>
      <c r="AJ86" s="188"/>
    </row>
    <row r="87" spans="1:36" ht="13.95" hidden="1" customHeight="1" x14ac:dyDescent="0.3">
      <c r="A87" s="8" t="s">
        <v>25</v>
      </c>
      <c r="B87" s="53">
        <v>45544</v>
      </c>
      <c r="C87" s="12" t="s">
        <v>26</v>
      </c>
      <c r="D87" s="8" t="s">
        <v>58</v>
      </c>
      <c r="E87" s="9" t="s">
        <v>118</v>
      </c>
      <c r="F87" s="9" t="s">
        <v>133</v>
      </c>
      <c r="G87" s="4" t="s">
        <v>120</v>
      </c>
      <c r="H87" s="4">
        <v>33707243479</v>
      </c>
      <c r="I87" s="4" t="s">
        <v>121</v>
      </c>
      <c r="J87" s="8" t="s">
        <v>381</v>
      </c>
      <c r="K87" s="173">
        <v>1</v>
      </c>
      <c r="L87" s="10">
        <v>798264.41</v>
      </c>
      <c r="M87" s="10">
        <v>167635.53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0.06</v>
      </c>
      <c r="U87" s="10">
        <f>+SUM(Tabla1[[#This Row],[IVA 21%]:[IVA 27%]])</f>
        <v>167635.53</v>
      </c>
      <c r="V87" s="10">
        <f>+SUM(Tabla1[[#This Row],[Neto]:[Impuestos Internos / Otros Tributos]])</f>
        <v>965900.00000000012</v>
      </c>
      <c r="W87" s="10">
        <f>+Tabla1[[#This Row],[Total]]</f>
        <v>965900.00000000012</v>
      </c>
      <c r="X87" s="10">
        <v>0</v>
      </c>
      <c r="Y87" s="10" t="s">
        <v>324</v>
      </c>
      <c r="Z87" s="10"/>
      <c r="AA87" s="110">
        <v>45544</v>
      </c>
      <c r="AB87" s="32">
        <v>965900.00000000012</v>
      </c>
      <c r="AC87" s="10"/>
      <c r="AD87" s="10"/>
      <c r="AE87" s="10"/>
      <c r="AF87" s="10"/>
      <c r="AG87" s="10"/>
      <c r="AH87" s="10">
        <v>0</v>
      </c>
      <c r="AI87" s="10"/>
      <c r="AJ87" s="188"/>
    </row>
    <row r="88" spans="1:36" ht="13.95" hidden="1" customHeight="1" x14ac:dyDescent="0.3">
      <c r="A88" s="8" t="s">
        <v>25</v>
      </c>
      <c r="B88" s="53">
        <v>45545</v>
      </c>
      <c r="C88" s="12" t="s">
        <v>26</v>
      </c>
      <c r="D88" s="8" t="s">
        <v>58</v>
      </c>
      <c r="E88" s="9" t="s">
        <v>97</v>
      </c>
      <c r="F88" s="9" t="s">
        <v>98</v>
      </c>
      <c r="G88" s="4" t="s">
        <v>99</v>
      </c>
      <c r="H88" s="4">
        <v>30708574836</v>
      </c>
      <c r="I88" s="4" t="s">
        <v>100</v>
      </c>
      <c r="J88" s="8" t="s">
        <v>381</v>
      </c>
      <c r="K88" s="173">
        <v>1</v>
      </c>
      <c r="L88" s="10">
        <v>13800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f>+SUM(Tabla1[[#This Row],[IVA 21%]:[IVA 27%]])</f>
        <v>0</v>
      </c>
      <c r="V88" s="10">
        <f>+SUM(Tabla1[[#This Row],[Neto]:[Impuestos Internos / Otros Tributos]])</f>
        <v>13800</v>
      </c>
      <c r="W88" s="10">
        <v>13800</v>
      </c>
      <c r="X88" s="10"/>
      <c r="Y88" s="10" t="s">
        <v>324</v>
      </c>
      <c r="Z88" s="10"/>
      <c r="AA88" s="110"/>
      <c r="AB88" s="10">
        <v>0</v>
      </c>
      <c r="AC88" s="10"/>
      <c r="AD88" s="10"/>
      <c r="AE88" s="10"/>
      <c r="AF88" s="10"/>
      <c r="AG88" s="10"/>
      <c r="AH88" s="32">
        <v>13800</v>
      </c>
      <c r="AI88" s="10"/>
      <c r="AJ88" s="188"/>
    </row>
    <row r="89" spans="1:36" ht="13.95" hidden="1" customHeight="1" x14ac:dyDescent="0.3">
      <c r="A89" s="8" t="s">
        <v>25</v>
      </c>
      <c r="B89" s="53">
        <v>45545</v>
      </c>
      <c r="C89" s="12" t="s">
        <v>26</v>
      </c>
      <c r="D89" s="8" t="s">
        <v>27</v>
      </c>
      <c r="E89" s="9" t="s">
        <v>37</v>
      </c>
      <c r="F89" s="9" t="s">
        <v>101</v>
      </c>
      <c r="G89" s="4" t="s">
        <v>102</v>
      </c>
      <c r="H89" s="4">
        <v>23406307239</v>
      </c>
      <c r="I89" s="4" t="s">
        <v>277</v>
      </c>
      <c r="J89" s="8" t="s">
        <v>381</v>
      </c>
      <c r="K89" s="173">
        <v>1</v>
      </c>
      <c r="L89" s="10">
        <v>900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f>+SUM(Tabla1[[#This Row],[IVA 21%]:[IVA 27%]])</f>
        <v>0</v>
      </c>
      <c r="V89" s="10">
        <f>+SUM(Tabla1[[#This Row],[Neto]:[Impuestos Internos / Otros Tributos]])</f>
        <v>900</v>
      </c>
      <c r="W89" s="10">
        <v>900</v>
      </c>
      <c r="X89" s="10"/>
      <c r="Y89" s="10" t="s">
        <v>324</v>
      </c>
      <c r="Z89" s="10"/>
      <c r="AA89" s="110"/>
      <c r="AB89" s="10">
        <v>0</v>
      </c>
      <c r="AC89" s="10"/>
      <c r="AD89" s="10"/>
      <c r="AE89" s="10"/>
      <c r="AF89" s="10"/>
      <c r="AG89" s="10"/>
      <c r="AH89" s="32">
        <v>900</v>
      </c>
      <c r="AI89" s="10"/>
      <c r="AJ89" s="188"/>
    </row>
    <row r="90" spans="1:36" ht="13.95" hidden="1" customHeight="1" x14ac:dyDescent="0.3">
      <c r="A90" s="8" t="s">
        <v>25</v>
      </c>
      <c r="B90" s="53">
        <v>45545</v>
      </c>
      <c r="C90" s="12" t="s">
        <v>26</v>
      </c>
      <c r="D90" s="8" t="s">
        <v>58</v>
      </c>
      <c r="E90" s="9" t="s">
        <v>64</v>
      </c>
      <c r="F90" s="9" t="s">
        <v>122</v>
      </c>
      <c r="G90" s="4" t="s">
        <v>66</v>
      </c>
      <c r="H90" s="4">
        <v>30673770483</v>
      </c>
      <c r="I90" s="4" t="s">
        <v>62</v>
      </c>
      <c r="J90" s="8" t="s">
        <v>381</v>
      </c>
      <c r="K90" s="173">
        <v>1</v>
      </c>
      <c r="L90" s="10">
        <v>19954.38</v>
      </c>
      <c r="M90" s="10">
        <v>4190.42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718.36</v>
      </c>
      <c r="T90" s="10">
        <v>0</v>
      </c>
      <c r="U90" s="10">
        <f>+SUM(Tabla1[[#This Row],[IVA 21%]:[IVA 27%]])</f>
        <v>4190.42</v>
      </c>
      <c r="V90" s="10">
        <f>+SUM(Tabla1[[#This Row],[Neto]:[Impuestos Internos / Otros Tributos]])</f>
        <v>24863.160000000003</v>
      </c>
      <c r="W90" s="10">
        <v>24863.160000000003</v>
      </c>
      <c r="X90" s="10"/>
      <c r="Y90" s="10" t="s">
        <v>324</v>
      </c>
      <c r="Z90" s="10"/>
      <c r="AA90" s="110"/>
      <c r="AB90" s="10">
        <v>0</v>
      </c>
      <c r="AC90" s="10"/>
      <c r="AD90" s="10"/>
      <c r="AE90" s="10"/>
      <c r="AF90" s="10"/>
      <c r="AG90" s="10"/>
      <c r="AH90" s="32">
        <v>24863.160000000003</v>
      </c>
      <c r="AI90" s="10"/>
      <c r="AJ90" s="188"/>
    </row>
    <row r="91" spans="1:36" ht="13.95" hidden="1" customHeight="1" x14ac:dyDescent="0.3">
      <c r="A91" s="8" t="s">
        <v>25</v>
      </c>
      <c r="B91" s="53">
        <v>45545</v>
      </c>
      <c r="C91" s="12" t="s">
        <v>26</v>
      </c>
      <c r="D91" s="8" t="s">
        <v>58</v>
      </c>
      <c r="E91" s="9" t="s">
        <v>390</v>
      </c>
      <c r="F91" s="9" t="s">
        <v>391</v>
      </c>
      <c r="G91" s="4" t="s">
        <v>392</v>
      </c>
      <c r="H91" s="4">
        <v>30557717400</v>
      </c>
      <c r="I91" s="4" t="s">
        <v>697</v>
      </c>
      <c r="J91" s="8" t="s">
        <v>381</v>
      </c>
      <c r="K91" s="173">
        <v>1</v>
      </c>
      <c r="L91" s="10">
        <v>168606.81</v>
      </c>
      <c r="M91" s="10">
        <f>+Tabla1[[#This Row],[Neto]]*21%</f>
        <v>35407.430099999998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7644.16</v>
      </c>
      <c r="T91" s="10">
        <v>0</v>
      </c>
      <c r="U91" s="10">
        <f>+SUM(Tabla1[[#This Row],[IVA 21%]:[IVA 27%]])</f>
        <v>35407.430099999998</v>
      </c>
      <c r="V91" s="10">
        <f>+SUM(Tabla1[[#This Row],[Neto]:[Impuestos Internos / Otros Tributos]])</f>
        <v>211658.4001</v>
      </c>
      <c r="W91" s="10">
        <f>+Tabla1[[#This Row],[Total]]</f>
        <v>211658.4001</v>
      </c>
      <c r="X91" s="10">
        <v>0</v>
      </c>
      <c r="Y91" s="10" t="s">
        <v>324</v>
      </c>
      <c r="Z91" s="10"/>
      <c r="AA91" s="109">
        <v>45544</v>
      </c>
      <c r="AB91" s="32">
        <f>+Tabla1[[#This Row],[Total a Pagar]]</f>
        <v>211658.4001</v>
      </c>
      <c r="AH91" s="10">
        <v>0</v>
      </c>
      <c r="AJ91" s="188"/>
    </row>
    <row r="92" spans="1:36" ht="13.95" hidden="1" customHeight="1" x14ac:dyDescent="0.3">
      <c r="A92" s="8" t="s">
        <v>25</v>
      </c>
      <c r="B92" s="53">
        <v>45545</v>
      </c>
      <c r="C92" s="12" t="s">
        <v>26</v>
      </c>
      <c r="D92" s="8" t="s">
        <v>27</v>
      </c>
      <c r="E92" s="9" t="s">
        <v>37</v>
      </c>
      <c r="F92" s="9" t="s">
        <v>103</v>
      </c>
      <c r="G92" s="4" t="s">
        <v>78</v>
      </c>
      <c r="H92" s="4">
        <v>20105424605</v>
      </c>
      <c r="I92" s="4" t="s">
        <v>277</v>
      </c>
      <c r="J92" s="8" t="s">
        <v>381</v>
      </c>
      <c r="K92" s="173">
        <v>1</v>
      </c>
      <c r="L92" s="10">
        <v>21450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f>+SUM(Tabla1[[#This Row],[IVA 21%]:[IVA 27%]])</f>
        <v>0</v>
      </c>
      <c r="V92" s="10">
        <f>+SUM(Tabla1[[#This Row],[Neto]:[Impuestos Internos / Otros Tributos]])</f>
        <v>21450</v>
      </c>
      <c r="W92" s="10">
        <v>21450</v>
      </c>
      <c r="X92" s="10"/>
      <c r="Y92" s="10" t="s">
        <v>324</v>
      </c>
      <c r="Z92" s="10"/>
      <c r="AA92" s="110"/>
      <c r="AB92" s="10">
        <v>0</v>
      </c>
      <c r="AC92" s="10"/>
      <c r="AD92" s="10"/>
      <c r="AE92" s="10"/>
      <c r="AF92" s="10"/>
      <c r="AG92" s="10"/>
      <c r="AH92" s="32">
        <v>21450</v>
      </c>
      <c r="AI92" s="10"/>
      <c r="AJ92" s="188"/>
    </row>
    <row r="93" spans="1:36" ht="13.95" hidden="1" customHeight="1" x14ac:dyDescent="0.3">
      <c r="A93" s="8" t="s">
        <v>25</v>
      </c>
      <c r="B93" s="53">
        <v>45545</v>
      </c>
      <c r="C93" s="12" t="s">
        <v>26</v>
      </c>
      <c r="D93" s="8" t="s">
        <v>27</v>
      </c>
      <c r="E93" s="9" t="s">
        <v>37</v>
      </c>
      <c r="F93" s="9" t="s">
        <v>140</v>
      </c>
      <c r="G93" s="4" t="s">
        <v>78</v>
      </c>
      <c r="H93" s="4">
        <v>20105424605</v>
      </c>
      <c r="I93" s="4" t="s">
        <v>277</v>
      </c>
      <c r="J93" s="8" t="s">
        <v>381</v>
      </c>
      <c r="K93" s="173">
        <v>1</v>
      </c>
      <c r="L93" s="10">
        <v>930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f>+SUM(Tabla1[[#This Row],[IVA 21%]:[IVA 27%]])</f>
        <v>0</v>
      </c>
      <c r="V93" s="10">
        <f>+SUM(Tabla1[[#This Row],[Neto]:[Impuestos Internos / Otros Tributos]])</f>
        <v>930</v>
      </c>
      <c r="W93" s="10">
        <v>930</v>
      </c>
      <c r="X93" s="10"/>
      <c r="Y93" s="10" t="s">
        <v>324</v>
      </c>
      <c r="Z93" s="10"/>
      <c r="AA93" s="110"/>
      <c r="AB93" s="10">
        <v>0</v>
      </c>
      <c r="AC93" s="10"/>
      <c r="AD93" s="10"/>
      <c r="AE93" s="10"/>
      <c r="AF93" s="10"/>
      <c r="AG93" s="10"/>
      <c r="AH93" s="32">
        <f>+Tabla1[[#This Row],[Total a Pagar]]</f>
        <v>930</v>
      </c>
      <c r="AI93" s="10"/>
      <c r="AJ93" s="188"/>
    </row>
    <row r="94" spans="1:36" ht="13.95" hidden="1" customHeight="1" x14ac:dyDescent="0.3">
      <c r="A94" s="8" t="s">
        <v>25</v>
      </c>
      <c r="B94" s="53">
        <v>45545</v>
      </c>
      <c r="C94" s="12" t="s">
        <v>26</v>
      </c>
      <c r="D94" s="8" t="s">
        <v>58</v>
      </c>
      <c r="E94" s="9" t="s">
        <v>118</v>
      </c>
      <c r="F94" s="9" t="s">
        <v>119</v>
      </c>
      <c r="G94" s="4" t="s">
        <v>120</v>
      </c>
      <c r="H94" s="4">
        <v>33707243479</v>
      </c>
      <c r="I94" s="4" t="s">
        <v>121</v>
      </c>
      <c r="J94" s="8" t="s">
        <v>381</v>
      </c>
      <c r="K94" s="173">
        <v>1</v>
      </c>
      <c r="L94" s="10">
        <v>37190.080000000002</v>
      </c>
      <c r="M94" s="10">
        <v>7809.91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0.1</v>
      </c>
      <c r="U94" s="10">
        <f>+SUM(Tabla1[[#This Row],[IVA 21%]:[IVA 27%]])</f>
        <v>7809.91</v>
      </c>
      <c r="V94" s="10">
        <f>+SUM(Tabla1[[#This Row],[Neto]:[Impuestos Internos / Otros Tributos]])</f>
        <v>45000.090000000004</v>
      </c>
      <c r="W94" s="10">
        <f>+Tabla1[[#This Row],[Total]]</f>
        <v>45000.090000000004</v>
      </c>
      <c r="X94" s="10">
        <v>0</v>
      </c>
      <c r="Y94" s="10" t="s">
        <v>324</v>
      </c>
      <c r="Z94" s="10"/>
      <c r="AA94" s="110"/>
      <c r="AB94" s="10">
        <v>0</v>
      </c>
      <c r="AC94" s="10"/>
      <c r="AD94" s="10"/>
      <c r="AE94" s="10"/>
      <c r="AF94" s="10"/>
      <c r="AG94" s="10"/>
      <c r="AH94" s="32">
        <f>+Tabla1[[#This Row],[Total a Pagar]]</f>
        <v>45000.090000000004</v>
      </c>
      <c r="AI94" s="10"/>
      <c r="AJ94" s="188"/>
    </row>
    <row r="95" spans="1:36" ht="13.95" hidden="1" customHeight="1" x14ac:dyDescent="0.3">
      <c r="A95" s="36" t="s">
        <v>25</v>
      </c>
      <c r="B95" s="55">
        <v>45545</v>
      </c>
      <c r="C95" s="37" t="s">
        <v>26</v>
      </c>
      <c r="D95" s="8" t="s">
        <v>58</v>
      </c>
      <c r="E95" s="9" t="s">
        <v>32</v>
      </c>
      <c r="F95" s="9" t="s">
        <v>452</v>
      </c>
      <c r="G95" s="38" t="s">
        <v>270</v>
      </c>
      <c r="H95" s="38">
        <v>33710842499</v>
      </c>
      <c r="I95" s="38" t="s">
        <v>453</v>
      </c>
      <c r="J95" s="36" t="s">
        <v>381</v>
      </c>
      <c r="K95" s="173">
        <v>1</v>
      </c>
      <c r="L95" s="39">
        <v>91665</v>
      </c>
      <c r="M95" s="39">
        <f>+Tabla1[[#This Row],[Neto]]*21%</f>
        <v>19249.649999999998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f>+SUM(Tabla1[[#This Row],[IVA 21%]:[IVA 27%]])</f>
        <v>19249.649999999998</v>
      </c>
      <c r="V95" s="10">
        <f>+SUM(Tabla1[[#This Row],[Neto]:[Impuestos Internos / Otros Tributos]])</f>
        <v>110914.65</v>
      </c>
      <c r="W95" s="39">
        <f>+Tabla1[[#This Row],[Total]]</f>
        <v>110914.65</v>
      </c>
      <c r="X95" s="39"/>
      <c r="Y95" s="10" t="s">
        <v>325</v>
      </c>
      <c r="Z95" s="10"/>
      <c r="AA95" s="107"/>
      <c r="AB95" s="39">
        <v>0</v>
      </c>
      <c r="AC95" s="38"/>
      <c r="AD95" s="38"/>
      <c r="AE95" s="38"/>
      <c r="AF95" s="38"/>
      <c r="AG95" s="38"/>
      <c r="AH95" s="39"/>
      <c r="AI95" s="38"/>
      <c r="AJ95" s="188"/>
    </row>
    <row r="96" spans="1:36" ht="13.95" hidden="1" customHeight="1" x14ac:dyDescent="0.3">
      <c r="A96" s="8" t="s">
        <v>25</v>
      </c>
      <c r="B96" s="53">
        <v>45546</v>
      </c>
      <c r="C96" s="12" t="s">
        <v>26</v>
      </c>
      <c r="D96" s="8" t="s">
        <v>58</v>
      </c>
      <c r="E96" s="9" t="s">
        <v>104</v>
      </c>
      <c r="F96" s="9" t="s">
        <v>105</v>
      </c>
      <c r="G96" s="4" t="s">
        <v>61</v>
      </c>
      <c r="H96" s="4">
        <v>30716375184</v>
      </c>
      <c r="I96" s="4" t="s">
        <v>62</v>
      </c>
      <c r="J96" s="8" t="s">
        <v>381</v>
      </c>
      <c r="K96" s="173">
        <v>1</v>
      </c>
      <c r="L96" s="10">
        <v>29842.48</v>
      </c>
      <c r="M96" s="10">
        <v>6266.92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f>+SUM(Tabla1[[#This Row],[IVA 21%]:[IVA 27%]])</f>
        <v>6266.92</v>
      </c>
      <c r="V96" s="10">
        <f>+SUM(Tabla1[[#This Row],[Neto]:[Impuestos Internos / Otros Tributos]])</f>
        <v>36109.4</v>
      </c>
      <c r="W96" s="10">
        <v>36109.4</v>
      </c>
      <c r="X96" s="10"/>
      <c r="Y96" s="10" t="s">
        <v>324</v>
      </c>
      <c r="Z96" s="10"/>
      <c r="AA96" s="110"/>
      <c r="AB96" s="10">
        <v>0</v>
      </c>
      <c r="AC96" s="10"/>
      <c r="AD96" s="10"/>
      <c r="AE96" s="10"/>
      <c r="AF96" s="10"/>
      <c r="AG96" s="10"/>
      <c r="AH96" s="32">
        <v>36109.4</v>
      </c>
      <c r="AI96" s="10"/>
      <c r="AJ96" s="188"/>
    </row>
    <row r="97" spans="1:36" ht="13.95" hidden="1" customHeight="1" x14ac:dyDescent="0.3">
      <c r="A97" s="8" t="s">
        <v>25</v>
      </c>
      <c r="B97" s="53">
        <v>45546</v>
      </c>
      <c r="C97" s="12" t="s">
        <v>26</v>
      </c>
      <c r="D97" s="8" t="s">
        <v>58</v>
      </c>
      <c r="E97" s="9" t="s">
        <v>295</v>
      </c>
      <c r="F97" s="9" t="s">
        <v>296</v>
      </c>
      <c r="G97" s="4" t="s">
        <v>298</v>
      </c>
      <c r="H97" s="4">
        <v>33707675069</v>
      </c>
      <c r="I97" s="4" t="s">
        <v>297</v>
      </c>
      <c r="J97" s="8" t="s">
        <v>381</v>
      </c>
      <c r="K97" s="173">
        <v>1</v>
      </c>
      <c r="L97" s="10">
        <v>34194.22</v>
      </c>
      <c r="M97" s="10">
        <f>+Tabla1[[#This Row],[Neto]]*21%</f>
        <v>7180.7861999999996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f>+SUM(Tabla1[[#This Row],[IVA 21%]:[IVA 27%]])</f>
        <v>7180.7861999999996</v>
      </c>
      <c r="V97" s="10">
        <f>+SUM(Tabla1[[#This Row],[Neto]:[Impuestos Internos / Otros Tributos]])</f>
        <v>41375.006200000003</v>
      </c>
      <c r="W97" s="10">
        <f>+Tabla1[[#This Row],[Total]]</f>
        <v>41375.006200000003</v>
      </c>
      <c r="X97" s="10"/>
      <c r="Y97" s="10" t="s">
        <v>324</v>
      </c>
      <c r="Z97" s="10"/>
      <c r="AA97" s="110"/>
      <c r="AB97" s="10">
        <v>0</v>
      </c>
      <c r="AH97" s="32">
        <f>+Tabla1[[#This Row],[Total a Pagar]]</f>
        <v>41375.006200000003</v>
      </c>
      <c r="AJ97" s="188"/>
    </row>
    <row r="98" spans="1:36" ht="13.95" hidden="1" customHeight="1" x14ac:dyDescent="0.3">
      <c r="A98" s="8" t="s">
        <v>25</v>
      </c>
      <c r="B98" s="53">
        <v>45546</v>
      </c>
      <c r="C98" s="12" t="s">
        <v>26</v>
      </c>
      <c r="D98" s="8" t="s">
        <v>58</v>
      </c>
      <c r="E98" s="9" t="s">
        <v>32</v>
      </c>
      <c r="F98" s="9" t="s">
        <v>293</v>
      </c>
      <c r="G98" s="4" t="s">
        <v>276</v>
      </c>
      <c r="H98" s="4">
        <v>27161287305</v>
      </c>
      <c r="I98" s="4" t="s">
        <v>294</v>
      </c>
      <c r="J98" s="8" t="s">
        <v>381</v>
      </c>
      <c r="K98" s="173">
        <v>1</v>
      </c>
      <c r="L98" s="10">
        <v>20661.16</v>
      </c>
      <c r="M98" s="10">
        <f>+Tabla1[[#This Row],[Neto]]*21%</f>
        <v>4338.8436000000002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f>+SUM(Tabla1[[#This Row],[IVA 21%]:[IVA 27%]])</f>
        <v>4338.8436000000002</v>
      </c>
      <c r="V98" s="10">
        <f>+SUM(Tabla1[[#This Row],[Neto]:[Impuestos Internos / Otros Tributos]])</f>
        <v>25000.0036</v>
      </c>
      <c r="W98" s="10">
        <f>+Tabla1[[#This Row],[Total]]</f>
        <v>25000.0036</v>
      </c>
      <c r="X98" s="10"/>
      <c r="Y98" s="10" t="s">
        <v>324</v>
      </c>
      <c r="Z98" s="10"/>
      <c r="AA98" s="110"/>
      <c r="AB98" s="10">
        <v>0</v>
      </c>
      <c r="AH98" s="32">
        <f>+Tabla1[[#This Row],[Total a Pagar]]</f>
        <v>25000.0036</v>
      </c>
      <c r="AJ98" s="188"/>
    </row>
    <row r="99" spans="1:36" ht="13.95" hidden="1" customHeight="1" x14ac:dyDescent="0.3">
      <c r="A99" s="8" t="s">
        <v>25</v>
      </c>
      <c r="B99" s="53">
        <v>45546</v>
      </c>
      <c r="C99" s="12" t="s">
        <v>26</v>
      </c>
      <c r="D99" s="8" t="s">
        <v>27</v>
      </c>
      <c r="E99" s="9" t="s">
        <v>37</v>
      </c>
      <c r="F99" s="9" t="s">
        <v>187</v>
      </c>
      <c r="G99" s="4" t="s">
        <v>188</v>
      </c>
      <c r="H99" s="4">
        <v>27299781688</v>
      </c>
      <c r="I99" s="4" t="s">
        <v>526</v>
      </c>
      <c r="J99" s="8" t="s">
        <v>381</v>
      </c>
      <c r="K99" s="173">
        <v>1</v>
      </c>
      <c r="L99" s="10">
        <v>370800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f>+SUM(Tabla1[[#This Row],[IVA 21%]:[IVA 27%]])</f>
        <v>0</v>
      </c>
      <c r="V99" s="10">
        <f>+SUM(Tabla1[[#This Row],[Neto]:[Impuestos Internos / Otros Tributos]])</f>
        <v>370800</v>
      </c>
      <c r="W99" s="10">
        <v>370800</v>
      </c>
      <c r="X99" s="10">
        <v>0</v>
      </c>
      <c r="Y99" s="10" t="s">
        <v>324</v>
      </c>
      <c r="Z99" s="10"/>
      <c r="AA99" s="110">
        <v>45555</v>
      </c>
      <c r="AB99" s="32">
        <v>370800</v>
      </c>
      <c r="AC99" s="10"/>
      <c r="AD99" s="10"/>
      <c r="AE99" s="10"/>
      <c r="AF99" s="10"/>
      <c r="AG99" s="10"/>
      <c r="AH99" s="10">
        <v>0</v>
      </c>
      <c r="AI99" s="10"/>
      <c r="AJ99" s="188"/>
    </row>
    <row r="100" spans="1:36" ht="13.95" customHeight="1" x14ac:dyDescent="0.3">
      <c r="A100" s="244" t="s">
        <v>25</v>
      </c>
      <c r="B100" s="245">
        <v>45546</v>
      </c>
      <c r="C100" s="246" t="s">
        <v>26</v>
      </c>
      <c r="D100" s="244" t="s">
        <v>58</v>
      </c>
      <c r="E100" s="235" t="s">
        <v>32</v>
      </c>
      <c r="F100" s="235" t="s">
        <v>145</v>
      </c>
      <c r="G100" s="243" t="s">
        <v>146</v>
      </c>
      <c r="H100" s="243">
        <v>33716385359</v>
      </c>
      <c r="I100" s="243" t="s">
        <v>142</v>
      </c>
      <c r="J100" s="8" t="s">
        <v>381</v>
      </c>
      <c r="K100" s="173">
        <v>1</v>
      </c>
      <c r="L100" s="229">
        <v>395000</v>
      </c>
      <c r="M100" s="229">
        <v>82950</v>
      </c>
      <c r="N100" s="10">
        <v>0</v>
      </c>
      <c r="O100" s="10">
        <v>0</v>
      </c>
      <c r="P100" s="10">
        <v>0</v>
      </c>
      <c r="Q100" s="229">
        <v>1172500</v>
      </c>
      <c r="R100" s="10">
        <v>0</v>
      </c>
      <c r="S100" s="229">
        <v>56430</v>
      </c>
      <c r="T100" s="10">
        <v>0</v>
      </c>
      <c r="U100" s="229">
        <f>+SUM(Tabla1[[#This Row],[IVA 21%]:[IVA 27%]])</f>
        <v>82950</v>
      </c>
      <c r="V100" s="229">
        <f>+SUM(Tabla1[[#This Row],[Neto]:[Impuestos Internos / Otros Tributos]])</f>
        <v>1706880</v>
      </c>
      <c r="W100" s="229">
        <v>1706880</v>
      </c>
      <c r="X100" s="229">
        <v>0</v>
      </c>
      <c r="Y100" s="229" t="s">
        <v>324</v>
      </c>
      <c r="Z100" s="229"/>
      <c r="AA100" s="247">
        <v>45583</v>
      </c>
      <c r="AB100" s="229"/>
      <c r="AC100" s="10"/>
      <c r="AD100" s="10"/>
      <c r="AE100" s="10"/>
      <c r="AF100" s="10"/>
      <c r="AG100" s="10"/>
      <c r="AI100" s="10"/>
      <c r="AJ100" s="4" t="s">
        <v>963</v>
      </c>
    </row>
    <row r="101" spans="1:36" ht="13.95" hidden="1" customHeight="1" x14ac:dyDescent="0.3">
      <c r="A101" s="8" t="s">
        <v>25</v>
      </c>
      <c r="B101" s="53">
        <v>45546</v>
      </c>
      <c r="C101" s="12" t="s">
        <v>26</v>
      </c>
      <c r="D101" s="8" t="s">
        <v>27</v>
      </c>
      <c r="E101" s="9" t="s">
        <v>37</v>
      </c>
      <c r="F101" s="9" t="s">
        <v>106</v>
      </c>
      <c r="G101" s="4" t="s">
        <v>78</v>
      </c>
      <c r="H101" s="4">
        <v>20105424605</v>
      </c>
      <c r="I101" s="4" t="s">
        <v>277</v>
      </c>
      <c r="J101" s="8" t="s">
        <v>381</v>
      </c>
      <c r="K101" s="173">
        <v>1</v>
      </c>
      <c r="L101" s="10">
        <v>6500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f>+SUM(Tabla1[[#This Row],[IVA 21%]:[IVA 27%]])</f>
        <v>0</v>
      </c>
      <c r="V101" s="10">
        <f>+SUM(Tabla1[[#This Row],[Neto]:[Impuestos Internos / Otros Tributos]])</f>
        <v>6500</v>
      </c>
      <c r="W101" s="10">
        <v>6500</v>
      </c>
      <c r="X101" s="10"/>
      <c r="Y101" s="10" t="s">
        <v>324</v>
      </c>
      <c r="Z101" s="10"/>
      <c r="AA101" s="110"/>
      <c r="AB101" s="10">
        <v>0</v>
      </c>
      <c r="AC101" s="10"/>
      <c r="AD101" s="10"/>
      <c r="AE101" s="10"/>
      <c r="AF101" s="10"/>
      <c r="AG101" s="10"/>
      <c r="AH101" s="32">
        <v>6500</v>
      </c>
      <c r="AI101" s="10"/>
      <c r="AJ101" s="188"/>
    </row>
    <row r="102" spans="1:36" ht="13.95" hidden="1" customHeight="1" x14ac:dyDescent="0.3">
      <c r="A102" s="8" t="s">
        <v>25</v>
      </c>
      <c r="B102" s="53">
        <v>45546</v>
      </c>
      <c r="C102" s="12" t="s">
        <v>26</v>
      </c>
      <c r="D102" s="8" t="s">
        <v>58</v>
      </c>
      <c r="E102" s="9" t="s">
        <v>262</v>
      </c>
      <c r="F102" s="9" t="s">
        <v>304</v>
      </c>
      <c r="G102" s="4" t="s">
        <v>260</v>
      </c>
      <c r="H102" s="4">
        <v>30579939008</v>
      </c>
      <c r="I102" s="4" t="s">
        <v>297</v>
      </c>
      <c r="J102" s="8" t="s">
        <v>381</v>
      </c>
      <c r="K102" s="173">
        <v>1</v>
      </c>
      <c r="L102" s="10">
        <v>61080.82</v>
      </c>
      <c r="M102" s="10">
        <f>+Tabla1[[#This Row],[Neto]]*21%</f>
        <v>12826.9722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f>+SUM(Tabla1[[#This Row],[IVA 21%]:[IVA 27%]])</f>
        <v>12826.9722</v>
      </c>
      <c r="V102" s="10">
        <f>+SUM(Tabla1[[#This Row],[Neto]:[Impuestos Internos / Otros Tributos]])</f>
        <v>73907.792199999996</v>
      </c>
      <c r="W102" s="10">
        <f>+Tabla1[[#This Row],[Total]]</f>
        <v>73907.792199999996</v>
      </c>
      <c r="X102" s="10">
        <v>0</v>
      </c>
      <c r="Y102" s="10" t="s">
        <v>324</v>
      </c>
      <c r="Z102" s="10"/>
      <c r="AA102" s="110"/>
      <c r="AB102" s="10">
        <v>0</v>
      </c>
      <c r="AH102" s="32">
        <f>+Tabla1[[#This Row],[Total a Pagar]]</f>
        <v>73907.792199999996</v>
      </c>
      <c r="AJ102" s="188"/>
    </row>
    <row r="103" spans="1:36" ht="13.95" hidden="1" customHeight="1" x14ac:dyDescent="0.3">
      <c r="A103" s="36" t="s">
        <v>25</v>
      </c>
      <c r="B103" s="55">
        <v>45546</v>
      </c>
      <c r="C103" s="80" t="s">
        <v>641</v>
      </c>
      <c r="D103" s="36"/>
      <c r="E103" s="36"/>
      <c r="F103" s="9" t="s">
        <v>464</v>
      </c>
      <c r="G103" s="38" t="s">
        <v>465</v>
      </c>
      <c r="H103" s="38"/>
      <c r="I103" s="38" t="s">
        <v>466</v>
      </c>
      <c r="J103" s="36" t="s">
        <v>381</v>
      </c>
      <c r="K103" s="173">
        <v>1</v>
      </c>
      <c r="L103" s="39">
        <v>87500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f>+SUM(Tabla1[[#This Row],[IVA 21%]:[IVA 27%]])</f>
        <v>0</v>
      </c>
      <c r="V103" s="10">
        <f>+SUM(Tabla1[[#This Row],[Neto]:[Impuestos Internos / Otros Tributos]])</f>
        <v>87500</v>
      </c>
      <c r="W103" s="39">
        <f>+Tabla1[[#This Row],[Total]]</f>
        <v>87500</v>
      </c>
      <c r="X103" s="39">
        <v>0</v>
      </c>
      <c r="Y103" s="48" t="s">
        <v>324</v>
      </c>
      <c r="Z103" s="48"/>
      <c r="AA103" s="107">
        <v>45554</v>
      </c>
      <c r="AB103" s="39">
        <v>0</v>
      </c>
      <c r="AC103" s="38"/>
      <c r="AD103" s="38"/>
      <c r="AE103" s="38"/>
      <c r="AF103" s="38"/>
      <c r="AG103" s="38"/>
      <c r="AH103" s="50">
        <f>+Tabla1[[#This Row],[Total a Pagar]]</f>
        <v>87500</v>
      </c>
      <c r="AI103" s="38"/>
      <c r="AJ103" s="188"/>
    </row>
    <row r="104" spans="1:36" ht="13.95" hidden="1" customHeight="1" x14ac:dyDescent="0.3">
      <c r="A104" s="8" t="s">
        <v>25</v>
      </c>
      <c r="B104" s="53">
        <v>45547</v>
      </c>
      <c r="C104" s="12" t="s">
        <v>26</v>
      </c>
      <c r="D104" s="8" t="s">
        <v>27</v>
      </c>
      <c r="E104" s="9" t="s">
        <v>28</v>
      </c>
      <c r="F104" s="9" t="s">
        <v>30</v>
      </c>
      <c r="G104" s="4" t="s">
        <v>162</v>
      </c>
      <c r="H104" s="4">
        <v>20407752458</v>
      </c>
      <c r="I104" s="4" t="s">
        <v>513</v>
      </c>
      <c r="J104" s="8" t="s">
        <v>381</v>
      </c>
      <c r="K104" s="173">
        <v>1</v>
      </c>
      <c r="L104" s="10">
        <v>1050000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f>+SUM(Tabla1[[#This Row],[IVA 21%]:[IVA 27%]])</f>
        <v>0</v>
      </c>
      <c r="V104" s="10">
        <f>+SUM(Tabla1[[#This Row],[Neto]:[Impuestos Internos / Otros Tributos]])</f>
        <v>1050000</v>
      </c>
      <c r="W104" s="10">
        <v>1050000</v>
      </c>
      <c r="X104" s="10">
        <v>0</v>
      </c>
      <c r="Y104" s="10" t="s">
        <v>324</v>
      </c>
      <c r="Z104" s="10"/>
      <c r="AA104" s="110">
        <v>45555</v>
      </c>
      <c r="AB104" s="32">
        <v>1050000</v>
      </c>
      <c r="AC104" s="10"/>
      <c r="AD104" s="10"/>
      <c r="AE104" s="10"/>
      <c r="AF104" s="10"/>
      <c r="AG104" s="10"/>
      <c r="AH104" s="10">
        <v>0</v>
      </c>
      <c r="AI104" s="10"/>
      <c r="AJ104" s="188"/>
    </row>
    <row r="105" spans="1:36" ht="13.95" hidden="1" customHeight="1" x14ac:dyDescent="0.3">
      <c r="A105" s="8" t="s">
        <v>25</v>
      </c>
      <c r="B105" s="53">
        <v>45547</v>
      </c>
      <c r="C105" s="12" t="s">
        <v>26</v>
      </c>
      <c r="D105" s="8" t="s">
        <v>58</v>
      </c>
      <c r="E105" s="9" t="s">
        <v>107</v>
      </c>
      <c r="F105" s="9" t="s">
        <v>388</v>
      </c>
      <c r="G105" s="4" t="s">
        <v>192</v>
      </c>
      <c r="H105" s="4">
        <v>27057859755</v>
      </c>
      <c r="I105" s="4" t="s">
        <v>389</v>
      </c>
      <c r="J105" s="8" t="s">
        <v>381</v>
      </c>
      <c r="K105" s="173">
        <v>1</v>
      </c>
      <c r="L105" s="10">
        <v>2704000</v>
      </c>
      <c r="M105" s="10">
        <v>567840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f>+SUM(Tabla1[[#This Row],[IVA 21%]:[IVA 27%]])</f>
        <v>567840</v>
      </c>
      <c r="V105" s="10">
        <f>+SUM(Tabla1[[#This Row],[Neto]:[Impuestos Internos / Otros Tributos]])</f>
        <v>3271840</v>
      </c>
      <c r="W105" s="10">
        <f>+Tabla1[[#This Row],[Total]]</f>
        <v>3271840</v>
      </c>
      <c r="X105" s="10">
        <v>0</v>
      </c>
      <c r="Y105" s="10" t="s">
        <v>324</v>
      </c>
      <c r="Z105" s="10"/>
      <c r="AA105" s="109">
        <v>45559</v>
      </c>
      <c r="AB105" s="32">
        <f>+Tabla1[[#This Row],[Total a Pagar]]</f>
        <v>3271840</v>
      </c>
      <c r="AH105" s="10">
        <v>0</v>
      </c>
      <c r="AJ105" s="188"/>
    </row>
    <row r="106" spans="1:36" ht="13.95" hidden="1" customHeight="1" x14ac:dyDescent="0.3">
      <c r="A106" s="8" t="s">
        <v>25</v>
      </c>
      <c r="B106" s="53">
        <v>45547</v>
      </c>
      <c r="C106" s="12" t="s">
        <v>26</v>
      </c>
      <c r="D106" s="8" t="s">
        <v>27</v>
      </c>
      <c r="E106" s="9" t="s">
        <v>28</v>
      </c>
      <c r="F106" s="9" t="s">
        <v>176</v>
      </c>
      <c r="G106" s="4" t="s">
        <v>637</v>
      </c>
      <c r="H106" s="4">
        <v>20376327974</v>
      </c>
      <c r="I106" s="4" t="s">
        <v>177</v>
      </c>
      <c r="J106" s="8" t="s">
        <v>381</v>
      </c>
      <c r="K106" s="173">
        <v>1</v>
      </c>
      <c r="L106" s="10">
        <v>84000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f>+SUM(Tabla1[[#This Row],[IVA 21%]:[IVA 27%]])</f>
        <v>0</v>
      </c>
      <c r="V106" s="10">
        <f>+SUM(Tabla1[[#This Row],[Neto]:[Impuestos Internos / Otros Tributos]])</f>
        <v>84000</v>
      </c>
      <c r="W106" s="10">
        <v>84000</v>
      </c>
      <c r="X106" s="10"/>
      <c r="Y106" s="10" t="s">
        <v>324</v>
      </c>
      <c r="Z106" s="10"/>
      <c r="AA106" s="110">
        <v>45555</v>
      </c>
      <c r="AB106" s="32">
        <v>84000</v>
      </c>
      <c r="AC106" s="10"/>
      <c r="AD106" s="10"/>
      <c r="AE106" s="10"/>
      <c r="AF106" s="10"/>
      <c r="AG106" s="10"/>
      <c r="AH106" s="10">
        <v>0</v>
      </c>
      <c r="AI106" s="10"/>
      <c r="AJ106" s="188"/>
    </row>
    <row r="107" spans="1:36" ht="13.95" hidden="1" customHeight="1" x14ac:dyDescent="0.3">
      <c r="A107" s="8" t="s">
        <v>25</v>
      </c>
      <c r="B107" s="53">
        <v>45547</v>
      </c>
      <c r="C107" s="12" t="s">
        <v>26</v>
      </c>
      <c r="D107" s="8" t="s">
        <v>27</v>
      </c>
      <c r="E107" s="9" t="s">
        <v>28</v>
      </c>
      <c r="F107" s="9" t="s">
        <v>159</v>
      </c>
      <c r="G107" s="4" t="s">
        <v>160</v>
      </c>
      <c r="H107" s="4">
        <v>20404673867</v>
      </c>
      <c r="I107" s="4" t="s">
        <v>171</v>
      </c>
      <c r="J107" s="8" t="s">
        <v>381</v>
      </c>
      <c r="K107" s="173">
        <v>1</v>
      </c>
      <c r="L107" s="10">
        <v>732000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f>+SUM(Tabla1[[#This Row],[IVA 21%]:[IVA 27%]])</f>
        <v>0</v>
      </c>
      <c r="V107" s="10">
        <f>+SUM(Tabla1[[#This Row],[Neto]:[Impuestos Internos / Otros Tributos]])</f>
        <v>732000</v>
      </c>
      <c r="W107" s="10">
        <v>732000</v>
      </c>
      <c r="X107" s="10">
        <v>0</v>
      </c>
      <c r="Y107" s="14" t="s">
        <v>324</v>
      </c>
      <c r="Z107" s="14"/>
      <c r="AA107" s="109">
        <v>45555</v>
      </c>
      <c r="AB107" s="32">
        <f>+Tabla1[[#This Row],[Total a Pagar]]</f>
        <v>732000</v>
      </c>
      <c r="AC107" s="10"/>
      <c r="AD107" s="10"/>
      <c r="AE107" s="10"/>
      <c r="AF107" s="10"/>
      <c r="AG107" s="10"/>
      <c r="AH107" s="10">
        <v>0</v>
      </c>
      <c r="AI107" s="10"/>
      <c r="AJ107" s="188"/>
    </row>
    <row r="108" spans="1:36" ht="13.95" hidden="1" customHeight="1" x14ac:dyDescent="0.3">
      <c r="A108" s="8" t="s">
        <v>25</v>
      </c>
      <c r="B108" s="53">
        <v>45547</v>
      </c>
      <c r="C108" s="12" t="s">
        <v>26</v>
      </c>
      <c r="D108" s="8" t="s">
        <v>58</v>
      </c>
      <c r="E108" s="9" t="s">
        <v>107</v>
      </c>
      <c r="F108" s="9" t="s">
        <v>108</v>
      </c>
      <c r="G108" s="4" t="s">
        <v>109</v>
      </c>
      <c r="H108" s="4">
        <v>27172337568</v>
      </c>
      <c r="I108" s="4" t="s">
        <v>96</v>
      </c>
      <c r="J108" s="8" t="s">
        <v>381</v>
      </c>
      <c r="K108" s="173">
        <v>1</v>
      </c>
      <c r="L108" s="10">
        <v>35783.33</v>
      </c>
      <c r="M108" s="10">
        <v>7514.5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f>+SUM(Tabla1[[#This Row],[IVA 21%]:[IVA 27%]])</f>
        <v>7514.5</v>
      </c>
      <c r="V108" s="10">
        <f>+SUM(Tabla1[[#This Row],[Neto]:[Impuestos Internos / Otros Tributos]])</f>
        <v>43297.83</v>
      </c>
      <c r="W108" s="10">
        <f>+Tabla1[[#This Row],[Total]]</f>
        <v>43297.83</v>
      </c>
      <c r="X108" s="10">
        <v>0</v>
      </c>
      <c r="Y108" s="10" t="s">
        <v>324</v>
      </c>
      <c r="Z108" s="10"/>
      <c r="AA108" s="110"/>
      <c r="AB108" s="10">
        <v>0</v>
      </c>
      <c r="AC108" s="10"/>
      <c r="AD108" s="10"/>
      <c r="AE108" s="10"/>
      <c r="AF108" s="10"/>
      <c r="AG108" s="10"/>
      <c r="AH108" s="32">
        <v>43297.83</v>
      </c>
      <c r="AI108" s="10"/>
      <c r="AJ108" s="188"/>
    </row>
    <row r="109" spans="1:36" ht="13.95" hidden="1" customHeight="1" x14ac:dyDescent="0.3">
      <c r="A109" s="8" t="s">
        <v>25</v>
      </c>
      <c r="B109" s="53">
        <v>45547</v>
      </c>
      <c r="C109" s="12" t="s">
        <v>26</v>
      </c>
      <c r="D109" s="8" t="s">
        <v>58</v>
      </c>
      <c r="E109" s="9" t="s">
        <v>107</v>
      </c>
      <c r="F109" s="9" t="s">
        <v>110</v>
      </c>
      <c r="G109" s="4" t="s">
        <v>109</v>
      </c>
      <c r="H109" s="4">
        <v>27172337568</v>
      </c>
      <c r="I109" s="4" t="s">
        <v>96</v>
      </c>
      <c r="J109" s="8" t="s">
        <v>381</v>
      </c>
      <c r="K109" s="173">
        <v>1</v>
      </c>
      <c r="L109" s="10">
        <v>1989.96</v>
      </c>
      <c r="M109" s="10">
        <v>417.89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f>+SUM(Tabla1[[#This Row],[IVA 21%]:[IVA 27%]])</f>
        <v>417.89</v>
      </c>
      <c r="V109" s="10">
        <f>+SUM(Tabla1[[#This Row],[Neto]:[Impuestos Internos / Otros Tributos]])</f>
        <v>2407.85</v>
      </c>
      <c r="W109" s="10">
        <f>+Tabla1[[#This Row],[Total]]</f>
        <v>2407.85</v>
      </c>
      <c r="X109" s="10">
        <v>0</v>
      </c>
      <c r="Y109" s="10" t="s">
        <v>324</v>
      </c>
      <c r="Z109" s="10"/>
      <c r="AA109" s="110"/>
      <c r="AB109" s="10">
        <v>0</v>
      </c>
      <c r="AC109" s="10"/>
      <c r="AD109" s="10"/>
      <c r="AE109" s="10"/>
      <c r="AF109" s="10"/>
      <c r="AG109" s="10"/>
      <c r="AH109" s="32">
        <v>2407.85</v>
      </c>
      <c r="AI109" s="10"/>
      <c r="AJ109" s="188"/>
    </row>
    <row r="110" spans="1:36" ht="13.95" hidden="1" customHeight="1" x14ac:dyDescent="0.3">
      <c r="A110" s="8" t="s">
        <v>25</v>
      </c>
      <c r="B110" s="53">
        <v>45547</v>
      </c>
      <c r="C110" s="12" t="s">
        <v>26</v>
      </c>
      <c r="D110" s="8" t="s">
        <v>27</v>
      </c>
      <c r="E110" s="9" t="s">
        <v>28</v>
      </c>
      <c r="F110" s="9" t="s">
        <v>167</v>
      </c>
      <c r="G110" s="4" t="s">
        <v>168</v>
      </c>
      <c r="H110" s="4">
        <v>27362344072</v>
      </c>
      <c r="I110" s="4" t="s">
        <v>519</v>
      </c>
      <c r="J110" s="8" t="s">
        <v>381</v>
      </c>
      <c r="K110" s="173">
        <v>1</v>
      </c>
      <c r="L110" s="10">
        <v>738000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f>+SUM(Tabla1[[#This Row],[IVA 21%]:[IVA 27%]])</f>
        <v>0</v>
      </c>
      <c r="V110" s="10">
        <f>+SUM(Tabla1[[#This Row],[Neto]:[Impuestos Internos / Otros Tributos]])</f>
        <v>738000</v>
      </c>
      <c r="W110" s="10">
        <v>738000</v>
      </c>
      <c r="X110" s="10">
        <v>0</v>
      </c>
      <c r="Y110" s="10" t="s">
        <v>324</v>
      </c>
      <c r="Z110" s="10"/>
      <c r="AA110" s="110">
        <v>45555</v>
      </c>
      <c r="AB110" s="32">
        <v>738000</v>
      </c>
      <c r="AC110" s="10"/>
      <c r="AD110" s="10"/>
      <c r="AE110" s="10"/>
      <c r="AF110" s="10"/>
      <c r="AG110" s="10"/>
      <c r="AH110" s="10">
        <v>0</v>
      </c>
      <c r="AI110" s="10"/>
      <c r="AJ110" s="188"/>
    </row>
    <row r="111" spans="1:36" ht="13.95" hidden="1" customHeight="1" x14ac:dyDescent="0.3">
      <c r="A111" s="8" t="s">
        <v>25</v>
      </c>
      <c r="B111" s="53">
        <v>45547</v>
      </c>
      <c r="C111" s="12" t="s">
        <v>26</v>
      </c>
      <c r="D111" s="8" t="s">
        <v>58</v>
      </c>
      <c r="E111" s="9" t="s">
        <v>32</v>
      </c>
      <c r="F111" s="9" t="s">
        <v>429</v>
      </c>
      <c r="G111" s="4" t="s">
        <v>430</v>
      </c>
      <c r="H111" s="4">
        <v>30715364316</v>
      </c>
      <c r="I111" s="4" t="s">
        <v>431</v>
      </c>
      <c r="J111" s="8" t="s">
        <v>381</v>
      </c>
      <c r="K111" s="173">
        <v>1</v>
      </c>
      <c r="L111" s="10">
        <v>45000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f>+SUM(Tabla1[[#This Row],[IVA 21%]:[IVA 27%]])</f>
        <v>0</v>
      </c>
      <c r="V111" s="10">
        <f>+SUM(Tabla1[[#This Row],[Neto]:[Impuestos Internos / Otros Tributos]])</f>
        <v>45000</v>
      </c>
      <c r="W111" s="31">
        <f>+Tabla1[[#This Row],[Total]]</f>
        <v>45000</v>
      </c>
      <c r="X111" s="10">
        <v>0</v>
      </c>
      <c r="Y111" s="48" t="s">
        <v>325</v>
      </c>
      <c r="Z111" s="48"/>
      <c r="AA111" s="109"/>
      <c r="AJ111" s="188"/>
    </row>
    <row r="112" spans="1:36" ht="13.95" hidden="1" customHeight="1" x14ac:dyDescent="0.3">
      <c r="A112" s="8" t="s">
        <v>25</v>
      </c>
      <c r="B112" s="53">
        <v>45547</v>
      </c>
      <c r="C112" s="12" t="s">
        <v>26</v>
      </c>
      <c r="D112" s="8" t="s">
        <v>27</v>
      </c>
      <c r="E112" s="9" t="s">
        <v>37</v>
      </c>
      <c r="F112" s="9" t="s">
        <v>174</v>
      </c>
      <c r="G112" s="4" t="s">
        <v>175</v>
      </c>
      <c r="H112" s="4">
        <v>20385006226</v>
      </c>
      <c r="I112" s="4" t="s">
        <v>513</v>
      </c>
      <c r="J112" s="8" t="s">
        <v>381</v>
      </c>
      <c r="K112" s="173">
        <v>1</v>
      </c>
      <c r="L112" s="10">
        <v>684000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f>+SUM(Tabla1[[#This Row],[IVA 21%]:[IVA 27%]])</f>
        <v>0</v>
      </c>
      <c r="V112" s="10">
        <f>+SUM(Tabla1[[#This Row],[Neto]:[Impuestos Internos / Otros Tributos]])</f>
        <v>684000</v>
      </c>
      <c r="W112" s="10">
        <v>684000</v>
      </c>
      <c r="X112" s="10">
        <v>0</v>
      </c>
      <c r="Y112" s="10" t="s">
        <v>324</v>
      </c>
      <c r="Z112" s="10"/>
      <c r="AA112" s="110">
        <v>45555</v>
      </c>
      <c r="AB112" s="32">
        <v>684000</v>
      </c>
      <c r="AC112" s="10"/>
      <c r="AD112" s="10"/>
      <c r="AE112" s="10"/>
      <c r="AF112" s="10"/>
      <c r="AG112" s="10"/>
      <c r="AH112" s="10">
        <v>0</v>
      </c>
      <c r="AI112" s="10"/>
      <c r="AJ112" s="188"/>
    </row>
    <row r="113" spans="1:36" ht="13.95" hidden="1" customHeight="1" x14ac:dyDescent="0.3">
      <c r="A113" s="8" t="s">
        <v>25</v>
      </c>
      <c r="B113" s="53">
        <v>45547</v>
      </c>
      <c r="C113" s="12" t="s">
        <v>26</v>
      </c>
      <c r="D113" s="8" t="s">
        <v>27</v>
      </c>
      <c r="E113" s="9" t="s">
        <v>28</v>
      </c>
      <c r="F113" s="9" t="s">
        <v>137</v>
      </c>
      <c r="G113" s="4" t="s">
        <v>163</v>
      </c>
      <c r="H113" s="4">
        <v>20397047866</v>
      </c>
      <c r="I113" s="4" t="s">
        <v>164</v>
      </c>
      <c r="J113" s="8" t="s">
        <v>381</v>
      </c>
      <c r="K113" s="173">
        <v>1</v>
      </c>
      <c r="L113" s="10">
        <v>786000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f>+SUM(Tabla1[[#This Row],[IVA 21%]:[IVA 27%]])</f>
        <v>0</v>
      </c>
      <c r="V113" s="10">
        <f>+SUM(Tabla1[[#This Row],[Neto]:[Impuestos Internos / Otros Tributos]])</f>
        <v>786000</v>
      </c>
      <c r="W113" s="10">
        <v>786000</v>
      </c>
      <c r="X113" s="10"/>
      <c r="Y113" s="10" t="s">
        <v>324</v>
      </c>
      <c r="Z113" s="10"/>
      <c r="AA113" s="110">
        <v>45555</v>
      </c>
      <c r="AB113" s="32">
        <v>702000</v>
      </c>
      <c r="AC113" s="10"/>
      <c r="AD113" s="10"/>
      <c r="AE113" s="10"/>
      <c r="AF113" s="10"/>
      <c r="AG113" s="10"/>
      <c r="AH113" s="10">
        <v>0</v>
      </c>
      <c r="AI113" s="10"/>
      <c r="AJ113" s="188"/>
    </row>
    <row r="114" spans="1:36" ht="13.95" hidden="1" customHeight="1" x14ac:dyDescent="0.3">
      <c r="A114" s="8" t="s">
        <v>25</v>
      </c>
      <c r="B114" s="53">
        <v>45547</v>
      </c>
      <c r="C114" s="12" t="s">
        <v>26</v>
      </c>
      <c r="D114" s="8" t="s">
        <v>58</v>
      </c>
      <c r="E114" s="9" t="s">
        <v>111</v>
      </c>
      <c r="F114" s="9" t="s">
        <v>112</v>
      </c>
      <c r="G114" s="4" t="s">
        <v>95</v>
      </c>
      <c r="H114" s="4">
        <v>30583516790</v>
      </c>
      <c r="I114" s="4" t="s">
        <v>96</v>
      </c>
      <c r="J114" s="8" t="s">
        <v>381</v>
      </c>
      <c r="K114" s="173">
        <v>1</v>
      </c>
      <c r="L114" s="10">
        <v>42650.91</v>
      </c>
      <c r="M114" s="10">
        <v>8956.69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f>+SUM(Tabla1[[#This Row],[IVA 21%]:[IVA 27%]])</f>
        <v>8956.69</v>
      </c>
      <c r="V114" s="10">
        <f>+SUM(Tabla1[[#This Row],[Neto]:[Impuestos Internos / Otros Tributos]])</f>
        <v>51607.600000000006</v>
      </c>
      <c r="W114" s="10">
        <f>+Tabla1[[#This Row],[Total]]</f>
        <v>51607.600000000006</v>
      </c>
      <c r="X114" s="10">
        <v>0</v>
      </c>
      <c r="Y114" s="10" t="s">
        <v>324</v>
      </c>
      <c r="Z114" s="10"/>
      <c r="AA114" s="110"/>
      <c r="AB114" s="10">
        <v>0</v>
      </c>
      <c r="AC114" s="10"/>
      <c r="AD114" s="10"/>
      <c r="AE114" s="10"/>
      <c r="AF114" s="10"/>
      <c r="AG114" s="10"/>
      <c r="AH114" s="32">
        <v>51607.600000000006</v>
      </c>
      <c r="AI114" s="10"/>
      <c r="AJ114" s="188"/>
    </row>
    <row r="115" spans="1:36" ht="13.95" hidden="1" customHeight="1" x14ac:dyDescent="0.3">
      <c r="A115" s="8" t="s">
        <v>25</v>
      </c>
      <c r="B115" s="53">
        <v>45547</v>
      </c>
      <c r="C115" s="12" t="s">
        <v>26</v>
      </c>
      <c r="D115" s="8" t="s">
        <v>58</v>
      </c>
      <c r="E115" s="9" t="s">
        <v>113</v>
      </c>
      <c r="F115" s="9" t="s">
        <v>114</v>
      </c>
      <c r="G115" s="4" t="s">
        <v>115</v>
      </c>
      <c r="H115" s="4">
        <v>30523567795</v>
      </c>
      <c r="I115" s="4" t="s">
        <v>96</v>
      </c>
      <c r="J115" s="8" t="s">
        <v>381</v>
      </c>
      <c r="K115" s="173">
        <v>1</v>
      </c>
      <c r="L115" s="10">
        <v>24821.51</v>
      </c>
      <c r="M115" s="10">
        <v>5212.5200000000004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893.57436000000007</v>
      </c>
      <c r="T115" s="10">
        <v>0</v>
      </c>
      <c r="U115" s="10">
        <f>+SUM(Tabla1[[#This Row],[IVA 21%]:[IVA 27%]])</f>
        <v>5212.5200000000004</v>
      </c>
      <c r="V115" s="10">
        <f>+SUM(Tabla1[[#This Row],[Neto]:[Impuestos Internos / Otros Tributos]])</f>
        <v>30927.604359999998</v>
      </c>
      <c r="W115" s="10">
        <v>30927.604359999998</v>
      </c>
      <c r="X115" s="10"/>
      <c r="Y115" s="10" t="s">
        <v>324</v>
      </c>
      <c r="Z115" s="10"/>
      <c r="AA115" s="110"/>
      <c r="AB115" s="10">
        <v>0</v>
      </c>
      <c r="AC115" s="10"/>
      <c r="AD115" s="10"/>
      <c r="AE115" s="10"/>
      <c r="AF115" s="10"/>
      <c r="AG115" s="10"/>
      <c r="AH115" s="32">
        <v>30927.604359999998</v>
      </c>
      <c r="AI115" s="10"/>
      <c r="AJ115" s="188"/>
    </row>
    <row r="116" spans="1:36" ht="13.95" hidden="1" customHeight="1" x14ac:dyDescent="0.3">
      <c r="A116" s="8" t="s">
        <v>25</v>
      </c>
      <c r="B116" s="53">
        <v>45547</v>
      </c>
      <c r="C116" s="12" t="s">
        <v>26</v>
      </c>
      <c r="D116" s="8" t="s">
        <v>58</v>
      </c>
      <c r="E116" s="9" t="s">
        <v>74</v>
      </c>
      <c r="F116" s="9" t="s">
        <v>116</v>
      </c>
      <c r="G116" s="4" t="s">
        <v>117</v>
      </c>
      <c r="H116" s="4">
        <v>30711139369</v>
      </c>
      <c r="I116" s="4" t="s">
        <v>311</v>
      </c>
      <c r="J116" s="8" t="s">
        <v>381</v>
      </c>
      <c r="K116" s="173">
        <v>1</v>
      </c>
      <c r="L116" s="10">
        <v>15767.16</v>
      </c>
      <c r="M116" s="10">
        <v>3311.1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f>+SUM(Tabla1[[#This Row],[IVA 21%]:[IVA 27%]])</f>
        <v>3311.1</v>
      </c>
      <c r="V116" s="10">
        <f>+SUM(Tabla1[[#This Row],[Neto]:[Impuestos Internos / Otros Tributos]])</f>
        <v>19078.259999999998</v>
      </c>
      <c r="W116" s="10">
        <v>19078.259999999998</v>
      </c>
      <c r="X116" s="10"/>
      <c r="Y116" s="10" t="s">
        <v>324</v>
      </c>
      <c r="Z116" s="10"/>
      <c r="AA116" s="110"/>
      <c r="AB116" s="10">
        <v>0</v>
      </c>
      <c r="AC116" s="10"/>
      <c r="AD116" s="10"/>
      <c r="AE116" s="10"/>
      <c r="AF116" s="10"/>
      <c r="AG116" s="10"/>
      <c r="AH116" s="32">
        <v>19078.259999999998</v>
      </c>
      <c r="AI116" s="10"/>
      <c r="AJ116" s="188"/>
    </row>
    <row r="117" spans="1:36" ht="13.95" hidden="1" customHeight="1" x14ac:dyDescent="0.3">
      <c r="A117" s="8" t="s">
        <v>25</v>
      </c>
      <c r="B117" s="53">
        <v>45547</v>
      </c>
      <c r="C117" s="12" t="s">
        <v>26</v>
      </c>
      <c r="D117" s="8" t="s">
        <v>27</v>
      </c>
      <c r="E117" s="9" t="s">
        <v>28</v>
      </c>
      <c r="F117" s="9" t="s">
        <v>165</v>
      </c>
      <c r="G117" s="4" t="s">
        <v>166</v>
      </c>
      <c r="H117" s="4">
        <v>23363473229</v>
      </c>
      <c r="I117" s="4" t="s">
        <v>161</v>
      </c>
      <c r="J117" s="8" t="s">
        <v>381</v>
      </c>
      <c r="K117" s="173">
        <v>1</v>
      </c>
      <c r="L117" s="10">
        <v>264000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f>+SUM(Tabla1[[#This Row],[IVA 21%]:[IVA 27%]])</f>
        <v>0</v>
      </c>
      <c r="V117" s="10">
        <f>+SUM(Tabla1[[#This Row],[Neto]:[Impuestos Internos / Otros Tributos]])</f>
        <v>264000</v>
      </c>
      <c r="W117" s="10">
        <v>264000</v>
      </c>
      <c r="X117" s="10"/>
      <c r="Y117" s="10" t="s">
        <v>324</v>
      </c>
      <c r="Z117" s="10"/>
      <c r="AA117" s="110">
        <v>45555</v>
      </c>
      <c r="AB117" s="32">
        <v>264000</v>
      </c>
      <c r="AC117" s="10"/>
      <c r="AD117" s="10"/>
      <c r="AE117" s="10"/>
      <c r="AF117" s="10"/>
      <c r="AG117" s="10"/>
      <c r="AH117" s="10">
        <v>0</v>
      </c>
      <c r="AI117" s="10"/>
      <c r="AJ117" s="188"/>
    </row>
    <row r="118" spans="1:36" ht="13.95" hidden="1" customHeight="1" x14ac:dyDescent="0.3">
      <c r="A118" s="8" t="s">
        <v>25</v>
      </c>
      <c r="B118" s="53">
        <v>45547</v>
      </c>
      <c r="C118" s="12" t="s">
        <v>26</v>
      </c>
      <c r="D118" s="8" t="s">
        <v>58</v>
      </c>
      <c r="E118" s="9" t="s">
        <v>37</v>
      </c>
      <c r="F118" s="9" t="s">
        <v>285</v>
      </c>
      <c r="G118" s="4" t="s">
        <v>286</v>
      </c>
      <c r="H118" s="4">
        <v>27175804760</v>
      </c>
      <c r="I118" s="4" t="s">
        <v>287</v>
      </c>
      <c r="J118" s="8" t="s">
        <v>381</v>
      </c>
      <c r="K118" s="173">
        <v>1</v>
      </c>
      <c r="L118" s="10">
        <v>53337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f>+SUM(Tabla1[[#This Row],[IVA 21%]:[IVA 27%]])</f>
        <v>0</v>
      </c>
      <c r="V118" s="10">
        <f>+SUM(Tabla1[[#This Row],[Neto]:[Impuestos Internos / Otros Tributos]])</f>
        <v>53337</v>
      </c>
      <c r="W118" s="10">
        <f>+Tabla1[[#This Row],[Total]]</f>
        <v>53337</v>
      </c>
      <c r="X118" s="10"/>
      <c r="Y118" s="10" t="s">
        <v>324</v>
      </c>
      <c r="Z118" s="10"/>
      <c r="AA118" s="110"/>
      <c r="AB118" s="10">
        <v>0</v>
      </c>
      <c r="AH118" s="32">
        <f>+Tabla1[[#This Row],[Total a Pagar]]</f>
        <v>53337</v>
      </c>
      <c r="AJ118" s="188"/>
    </row>
    <row r="119" spans="1:36" ht="13.95" hidden="1" customHeight="1" x14ac:dyDescent="0.3">
      <c r="A119" s="8" t="s">
        <v>25</v>
      </c>
      <c r="B119" s="53">
        <v>45547</v>
      </c>
      <c r="C119" s="12" t="s">
        <v>26</v>
      </c>
      <c r="D119" s="8" t="s">
        <v>58</v>
      </c>
      <c r="E119" s="9" t="s">
        <v>262</v>
      </c>
      <c r="F119" s="9" t="s">
        <v>263</v>
      </c>
      <c r="G119" s="4" t="s">
        <v>260</v>
      </c>
      <c r="H119" s="4">
        <v>30579939008</v>
      </c>
      <c r="I119" s="4" t="s">
        <v>261</v>
      </c>
      <c r="J119" s="8" t="s">
        <v>381</v>
      </c>
      <c r="K119" s="173">
        <v>1</v>
      </c>
      <c r="L119" s="10">
        <v>728282.59</v>
      </c>
      <c r="M119" s="10">
        <f>+Tabla1[[#This Row],[Neto]]*21%</f>
        <v>152939.34389999998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f>+SUM(Tabla1[[#This Row],[IVA 21%]:[IVA 27%]])</f>
        <v>152939.34389999998</v>
      </c>
      <c r="V119" s="10">
        <f>+SUM(Tabla1[[#This Row],[Neto]:[Impuestos Internos / Otros Tributos]])</f>
        <v>881221.93389999995</v>
      </c>
      <c r="W119" s="10">
        <f>+Tabla1[[#This Row],[Total]]</f>
        <v>881221.93389999995</v>
      </c>
      <c r="X119" s="10">
        <v>0</v>
      </c>
      <c r="Y119" s="10" t="s">
        <v>324</v>
      </c>
      <c r="Z119" s="10"/>
      <c r="AA119" s="110">
        <v>45552</v>
      </c>
      <c r="AB119" s="32">
        <f>+Tabla1[[#This Row],[Total a Pagar]]</f>
        <v>881221.93389999995</v>
      </c>
      <c r="AH119" s="10">
        <v>0</v>
      </c>
      <c r="AJ119" s="188"/>
    </row>
    <row r="120" spans="1:36" ht="13.95" hidden="1" customHeight="1" x14ac:dyDescent="0.3">
      <c r="A120" s="8" t="s">
        <v>25</v>
      </c>
      <c r="B120" s="53">
        <v>45547</v>
      </c>
      <c r="C120" s="12" t="s">
        <v>26</v>
      </c>
      <c r="D120" s="8" t="s">
        <v>58</v>
      </c>
      <c r="E120" s="9" t="s">
        <v>262</v>
      </c>
      <c r="F120" s="9" t="s">
        <v>280</v>
      </c>
      <c r="G120" s="4" t="s">
        <v>260</v>
      </c>
      <c r="H120" s="4">
        <v>30579939008</v>
      </c>
      <c r="I120" s="4" t="s">
        <v>305</v>
      </c>
      <c r="J120" s="8" t="s">
        <v>381</v>
      </c>
      <c r="K120" s="173">
        <v>1</v>
      </c>
      <c r="L120" s="10">
        <v>399113.07</v>
      </c>
      <c r="M120" s="10">
        <f>+Tabla1[[#This Row],[Neto]]*21%</f>
        <v>83813.744699999996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f>+SUM(Tabla1[[#This Row],[IVA 21%]:[IVA 27%]])</f>
        <v>83813.744699999996</v>
      </c>
      <c r="V120" s="10">
        <f>+SUM(Tabla1[[#This Row],[Neto]:[Impuestos Internos / Otros Tributos]])</f>
        <v>482926.81469999999</v>
      </c>
      <c r="W120" s="10">
        <f>+Tabla1[[#This Row],[Total]]</f>
        <v>482926.81469999999</v>
      </c>
      <c r="X120" s="10">
        <v>0</v>
      </c>
      <c r="Y120" s="10" t="s">
        <v>324</v>
      </c>
      <c r="Z120" s="10"/>
      <c r="AA120" s="110">
        <v>45541</v>
      </c>
      <c r="AB120" s="32">
        <f>+Tabla1[[#This Row],[Total a Pagar]]</f>
        <v>482926.81469999999</v>
      </c>
      <c r="AH120" s="10">
        <v>0</v>
      </c>
      <c r="AJ120" s="188"/>
    </row>
    <row r="121" spans="1:36" ht="13.95" hidden="1" customHeight="1" x14ac:dyDescent="0.3">
      <c r="A121" s="36" t="s">
        <v>25</v>
      </c>
      <c r="B121" s="55">
        <v>45547</v>
      </c>
      <c r="C121" s="37" t="s">
        <v>434</v>
      </c>
      <c r="D121" s="36" t="s">
        <v>403</v>
      </c>
      <c r="E121" s="9" t="s">
        <v>28</v>
      </c>
      <c r="F121" s="9" t="s">
        <v>447</v>
      </c>
      <c r="G121" s="38" t="s">
        <v>406</v>
      </c>
      <c r="H121" s="38">
        <v>30111111111</v>
      </c>
      <c r="I121" s="38" t="s">
        <v>448</v>
      </c>
      <c r="J121" s="36" t="s">
        <v>381</v>
      </c>
      <c r="K121" s="173">
        <v>1</v>
      </c>
      <c r="L121" s="39">
        <v>80000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f>+SUM(Tabla1[[#This Row],[IVA 21%]:[IVA 27%]])</f>
        <v>0</v>
      </c>
      <c r="V121" s="10">
        <f>+SUM(Tabla1[[#This Row],[Neto]:[Impuestos Internos / Otros Tributos]])</f>
        <v>80000</v>
      </c>
      <c r="W121" s="39">
        <f>+Tabla1[[#This Row],[Total]]</f>
        <v>80000</v>
      </c>
      <c r="X121" s="39"/>
      <c r="Y121" s="10" t="s">
        <v>324</v>
      </c>
      <c r="Z121" s="10"/>
      <c r="AA121" s="107"/>
      <c r="AB121" s="39">
        <v>0</v>
      </c>
      <c r="AC121" s="38"/>
      <c r="AD121" s="38"/>
      <c r="AE121" s="38"/>
      <c r="AF121" s="38"/>
      <c r="AG121" s="38"/>
      <c r="AH121" s="32">
        <f>+Tabla1[[#This Row],[Total a Pagar]]</f>
        <v>80000</v>
      </c>
      <c r="AI121" s="38"/>
      <c r="AJ121" s="188"/>
    </row>
    <row r="122" spans="1:36" ht="13.95" hidden="1" customHeight="1" x14ac:dyDescent="0.3">
      <c r="A122" s="36" t="s">
        <v>25</v>
      </c>
      <c r="B122" s="55">
        <v>45547</v>
      </c>
      <c r="C122" s="37" t="s">
        <v>434</v>
      </c>
      <c r="D122" s="36" t="s">
        <v>403</v>
      </c>
      <c r="E122" s="45" t="s">
        <v>28</v>
      </c>
      <c r="F122" s="45" t="s">
        <v>447</v>
      </c>
      <c r="G122" s="38" t="s">
        <v>406</v>
      </c>
      <c r="H122" s="38">
        <v>30111111111</v>
      </c>
      <c r="I122" s="38" t="s">
        <v>405</v>
      </c>
      <c r="J122" s="36" t="s">
        <v>381</v>
      </c>
      <c r="K122" s="173">
        <v>1</v>
      </c>
      <c r="L122" s="39">
        <v>7070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f>+SUM(Tabla1[[#This Row],[IVA 21%]:[IVA 27%]])</f>
        <v>0</v>
      </c>
      <c r="V122" s="10">
        <f>+SUM(Tabla1[[#This Row],[Neto]:[Impuestos Internos / Otros Tributos]])</f>
        <v>7070</v>
      </c>
      <c r="W122" s="39">
        <f>+Tabla1[[#This Row],[Total]]</f>
        <v>7070</v>
      </c>
      <c r="X122" s="39"/>
      <c r="Y122" s="10" t="s">
        <v>324</v>
      </c>
      <c r="Z122" s="10"/>
      <c r="AA122" s="107"/>
      <c r="AB122" s="39">
        <v>0</v>
      </c>
      <c r="AC122" s="38"/>
      <c r="AD122" s="38"/>
      <c r="AE122" s="38"/>
      <c r="AF122" s="38"/>
      <c r="AG122" s="38"/>
      <c r="AH122" s="32">
        <f>+Tabla1[[#This Row],[Total a Pagar]]</f>
        <v>7070</v>
      </c>
      <c r="AI122" s="38"/>
      <c r="AJ122" s="188"/>
    </row>
    <row r="123" spans="1:36" ht="13.95" hidden="1" customHeight="1" x14ac:dyDescent="0.3">
      <c r="A123" s="8" t="s">
        <v>25</v>
      </c>
      <c r="B123" s="53">
        <v>45548</v>
      </c>
      <c r="C123" s="12" t="s">
        <v>26</v>
      </c>
      <c r="D123" s="8" t="s">
        <v>417</v>
      </c>
      <c r="E123" s="9" t="s">
        <v>418</v>
      </c>
      <c r="F123" s="9" t="s">
        <v>419</v>
      </c>
      <c r="G123" s="4" t="s">
        <v>420</v>
      </c>
      <c r="H123" s="4">
        <v>30717948900</v>
      </c>
      <c r="I123" s="4" t="s">
        <v>421</v>
      </c>
      <c r="J123" s="8" t="s">
        <v>381</v>
      </c>
      <c r="K123" s="173">
        <v>1</v>
      </c>
      <c r="L123" s="10">
        <v>35537.19</v>
      </c>
      <c r="M123" s="10">
        <f>+Tabla1[[#This Row],[Neto]]*21%</f>
        <v>7462.8099000000002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f>+SUM(Tabla1[[#This Row],[IVA 21%]:[IVA 27%]])</f>
        <v>7462.8099000000002</v>
      </c>
      <c r="V123" s="10">
        <f>+SUM(Tabla1[[#This Row],[Neto]:[Impuestos Internos / Otros Tributos]])</f>
        <v>42999.999900000003</v>
      </c>
      <c r="W123" s="10">
        <f>+Tabla1[[#This Row],[Total]]</f>
        <v>42999.999900000003</v>
      </c>
      <c r="X123" s="10">
        <v>0</v>
      </c>
      <c r="Y123" s="14" t="s">
        <v>325</v>
      </c>
      <c r="Z123" s="14"/>
      <c r="AA123" s="109"/>
      <c r="AJ123" s="188"/>
    </row>
    <row r="124" spans="1:36" ht="13.95" hidden="1" customHeight="1" x14ac:dyDescent="0.3">
      <c r="A124" s="8" t="s">
        <v>25</v>
      </c>
      <c r="B124" s="53">
        <v>45548</v>
      </c>
      <c r="C124" s="12" t="s">
        <v>26</v>
      </c>
      <c r="D124" s="8" t="s">
        <v>27</v>
      </c>
      <c r="E124" s="9" t="s">
        <v>28</v>
      </c>
      <c r="F124" s="9" t="s">
        <v>169</v>
      </c>
      <c r="G124" s="4" t="s">
        <v>170</v>
      </c>
      <c r="H124" s="4">
        <v>20356277490</v>
      </c>
      <c r="I124" s="4" t="s">
        <v>171</v>
      </c>
      <c r="J124" s="8" t="s">
        <v>381</v>
      </c>
      <c r="K124" s="173">
        <v>1</v>
      </c>
      <c r="L124" s="10">
        <v>348200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f>+SUM(Tabla1[[#This Row],[IVA 21%]:[IVA 27%]])</f>
        <v>0</v>
      </c>
      <c r="V124" s="10">
        <f>+SUM(Tabla1[[#This Row],[Neto]:[Impuestos Internos / Otros Tributos]])</f>
        <v>348200</v>
      </c>
      <c r="W124" s="10">
        <v>348200</v>
      </c>
      <c r="X124" s="10">
        <v>0</v>
      </c>
      <c r="Y124" s="10" t="s">
        <v>324</v>
      </c>
      <c r="Z124" s="10"/>
      <c r="AA124" s="110">
        <v>45555</v>
      </c>
      <c r="AB124" s="76">
        <v>348200</v>
      </c>
      <c r="AC124" s="10"/>
      <c r="AD124" s="10"/>
      <c r="AE124" s="10"/>
      <c r="AF124" s="10"/>
      <c r="AG124" s="10"/>
      <c r="AH124" s="10">
        <v>0</v>
      </c>
      <c r="AI124" s="10"/>
      <c r="AJ124" s="188"/>
    </row>
    <row r="125" spans="1:36" ht="13.95" hidden="1" customHeight="1" x14ac:dyDescent="0.3">
      <c r="A125" s="8" t="s">
        <v>25</v>
      </c>
      <c r="B125" s="53">
        <v>45548</v>
      </c>
      <c r="C125" s="12" t="s">
        <v>26</v>
      </c>
      <c r="D125" s="8" t="s">
        <v>27</v>
      </c>
      <c r="E125" s="9" t="s">
        <v>28</v>
      </c>
      <c r="F125" s="9" t="s">
        <v>172</v>
      </c>
      <c r="G125" s="4" t="s">
        <v>170</v>
      </c>
      <c r="H125" s="4">
        <v>20356277490</v>
      </c>
      <c r="I125" s="4" t="s">
        <v>173</v>
      </c>
      <c r="J125" s="8" t="s">
        <v>381</v>
      </c>
      <c r="K125" s="173">
        <v>1</v>
      </c>
      <c r="L125" s="10">
        <v>493200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f>+SUM(Tabla1[[#This Row],[IVA 21%]:[IVA 27%]])</f>
        <v>0</v>
      </c>
      <c r="V125" s="10">
        <f>+SUM(Tabla1[[#This Row],[Neto]:[Impuestos Internos / Otros Tributos]])</f>
        <v>493200</v>
      </c>
      <c r="W125" s="10">
        <v>493200</v>
      </c>
      <c r="X125" s="10">
        <v>0</v>
      </c>
      <c r="Y125" s="10" t="s">
        <v>324</v>
      </c>
      <c r="Z125" s="10"/>
      <c r="AA125" s="110">
        <v>45555</v>
      </c>
      <c r="AB125" s="76">
        <v>493200</v>
      </c>
      <c r="AC125" s="10"/>
      <c r="AD125" s="10"/>
      <c r="AE125" s="10"/>
      <c r="AF125" s="10"/>
      <c r="AG125" s="10"/>
      <c r="AH125" s="10">
        <v>0</v>
      </c>
      <c r="AI125" s="10"/>
      <c r="AJ125" s="188"/>
    </row>
    <row r="126" spans="1:36" ht="13.95" hidden="1" customHeight="1" x14ac:dyDescent="0.3">
      <c r="A126" s="8" t="s">
        <v>25</v>
      </c>
      <c r="B126" s="53">
        <v>45548</v>
      </c>
      <c r="C126" s="12" t="s">
        <v>26</v>
      </c>
      <c r="D126" s="8" t="s">
        <v>27</v>
      </c>
      <c r="E126" s="9" t="s">
        <v>28</v>
      </c>
      <c r="F126" s="9" t="s">
        <v>182</v>
      </c>
      <c r="G126" s="4" t="s">
        <v>183</v>
      </c>
      <c r="H126" s="4">
        <v>20352639606</v>
      </c>
      <c r="I126" s="4" t="s">
        <v>173</v>
      </c>
      <c r="J126" s="8" t="s">
        <v>381</v>
      </c>
      <c r="K126" s="173">
        <v>1</v>
      </c>
      <c r="L126" s="10">
        <v>1094400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f>+SUM(Tabla1[[#This Row],[IVA 21%]:[IVA 27%]])</f>
        <v>0</v>
      </c>
      <c r="V126" s="10">
        <f>+SUM(Tabla1[[#This Row],[Neto]:[Impuestos Internos / Otros Tributos]])</f>
        <v>1094400</v>
      </c>
      <c r="W126" s="10">
        <v>1094400</v>
      </c>
      <c r="X126" s="10">
        <v>0</v>
      </c>
      <c r="Y126" s="10" t="s">
        <v>324</v>
      </c>
      <c r="Z126" s="10"/>
      <c r="AA126" s="110">
        <v>45555</v>
      </c>
      <c r="AB126" s="76">
        <v>1094400</v>
      </c>
      <c r="AC126" s="10"/>
      <c r="AD126" s="10"/>
      <c r="AE126" s="10"/>
      <c r="AF126" s="10"/>
      <c r="AG126" s="10"/>
      <c r="AH126" s="10">
        <v>0</v>
      </c>
      <c r="AI126" s="10"/>
      <c r="AJ126" s="188"/>
    </row>
    <row r="127" spans="1:36" ht="13.95" hidden="1" customHeight="1" x14ac:dyDescent="0.3">
      <c r="A127" s="8" t="s">
        <v>25</v>
      </c>
      <c r="B127" s="53">
        <v>45548</v>
      </c>
      <c r="C127" s="12" t="s">
        <v>26</v>
      </c>
      <c r="D127" s="8" t="s">
        <v>27</v>
      </c>
      <c r="E127" s="9" t="s">
        <v>28</v>
      </c>
      <c r="F127" s="9" t="s">
        <v>41</v>
      </c>
      <c r="G127" s="4" t="s">
        <v>183</v>
      </c>
      <c r="H127" s="4">
        <v>20352639606</v>
      </c>
      <c r="I127" s="4" t="s">
        <v>184</v>
      </c>
      <c r="J127" s="8" t="s">
        <v>381</v>
      </c>
      <c r="K127" s="173">
        <v>1</v>
      </c>
      <c r="L127" s="10">
        <v>18000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f>+SUM(Tabla1[[#This Row],[IVA 21%]:[IVA 27%]])</f>
        <v>0</v>
      </c>
      <c r="V127" s="10">
        <f>+SUM(Tabla1[[#This Row],[Neto]:[Impuestos Internos / Otros Tributos]])</f>
        <v>18000</v>
      </c>
      <c r="W127" s="10">
        <v>18000</v>
      </c>
      <c r="X127" s="10">
        <v>0</v>
      </c>
      <c r="Y127" s="10" t="s">
        <v>324</v>
      </c>
      <c r="Z127" s="10"/>
      <c r="AA127" s="110">
        <v>45555</v>
      </c>
      <c r="AB127" s="76">
        <v>18000</v>
      </c>
      <c r="AC127" s="10"/>
      <c r="AD127" s="10"/>
      <c r="AE127" s="10"/>
      <c r="AF127" s="10"/>
      <c r="AG127" s="10"/>
      <c r="AH127" s="10">
        <v>0</v>
      </c>
      <c r="AI127" s="10"/>
      <c r="AJ127" s="188"/>
    </row>
    <row r="128" spans="1:36" ht="13.95" hidden="1" customHeight="1" x14ac:dyDescent="0.3">
      <c r="A128" s="8" t="s">
        <v>25</v>
      </c>
      <c r="B128" s="53">
        <v>45549</v>
      </c>
      <c r="C128" s="12" t="s">
        <v>26</v>
      </c>
      <c r="D128" s="8" t="s">
        <v>27</v>
      </c>
      <c r="E128" s="9" t="s">
        <v>32</v>
      </c>
      <c r="F128" s="9" t="s">
        <v>157</v>
      </c>
      <c r="G128" s="4" t="s">
        <v>254</v>
      </c>
      <c r="H128" s="4">
        <v>27414867486</v>
      </c>
      <c r="I128" s="4" t="s">
        <v>522</v>
      </c>
      <c r="J128" s="8" t="s">
        <v>381</v>
      </c>
      <c r="K128" s="173">
        <v>1</v>
      </c>
      <c r="L128" s="10">
        <v>188400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f>+SUM(Tabla1[[#This Row],[IVA 21%]:[IVA 27%]])</f>
        <v>0</v>
      </c>
      <c r="V128" s="10">
        <f>+SUM(Tabla1[[#This Row],[Neto]:[Impuestos Internos / Otros Tributos]])</f>
        <v>188400</v>
      </c>
      <c r="W128" s="10">
        <f>+V128</f>
        <v>188400</v>
      </c>
      <c r="X128" s="10">
        <v>0</v>
      </c>
      <c r="Y128" s="10" t="s">
        <v>324</v>
      </c>
      <c r="Z128" s="10"/>
      <c r="AA128" s="110">
        <v>45560</v>
      </c>
      <c r="AB128" s="32">
        <f>+Tabla1[[#This Row],[Total a Pagar]]</f>
        <v>188400</v>
      </c>
      <c r="AH128" s="10">
        <v>0</v>
      </c>
      <c r="AJ128" s="188"/>
    </row>
    <row r="129" spans="1:36" ht="13.95" hidden="1" customHeight="1" x14ac:dyDescent="0.3">
      <c r="A129" s="8" t="s">
        <v>25</v>
      </c>
      <c r="B129" s="53">
        <v>45551</v>
      </c>
      <c r="C129" s="12" t="s">
        <v>26</v>
      </c>
      <c r="D129" s="8" t="s">
        <v>58</v>
      </c>
      <c r="E129" s="9" t="s">
        <v>32</v>
      </c>
      <c r="F129" s="9" t="s">
        <v>141</v>
      </c>
      <c r="G129" s="4" t="s">
        <v>270</v>
      </c>
      <c r="H129" s="4">
        <v>33710842499</v>
      </c>
      <c r="I129" s="4" t="s">
        <v>142</v>
      </c>
      <c r="J129" s="8" t="s">
        <v>381</v>
      </c>
      <c r="K129" s="173">
        <v>1</v>
      </c>
      <c r="L129" s="10">
        <v>43472.22</v>
      </c>
      <c r="M129" s="10">
        <v>9129.17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f>+SUM(Tabla1[[#This Row],[IVA 21%]:[IVA 27%]])</f>
        <v>9129.17</v>
      </c>
      <c r="V129" s="10">
        <f>+SUM(Tabla1[[#This Row],[Neto]:[Impuestos Internos / Otros Tributos]])</f>
        <v>52601.39</v>
      </c>
      <c r="W129" s="10">
        <f>+Tabla1[[#This Row],[Total]]</f>
        <v>52601.39</v>
      </c>
      <c r="X129" s="10"/>
      <c r="Y129" s="14" t="s">
        <v>325</v>
      </c>
      <c r="Z129" s="14"/>
      <c r="AA129" s="109"/>
      <c r="AC129" s="10"/>
      <c r="AD129" s="10"/>
      <c r="AE129" s="10"/>
      <c r="AF129" s="10"/>
      <c r="AG129" s="10"/>
      <c r="AI129" s="10"/>
      <c r="AJ129" s="188"/>
    </row>
    <row r="130" spans="1:36" ht="13.95" customHeight="1" x14ac:dyDescent="0.3">
      <c r="A130" s="244" t="s">
        <v>25</v>
      </c>
      <c r="B130" s="245">
        <v>45551</v>
      </c>
      <c r="C130" s="246" t="s">
        <v>26</v>
      </c>
      <c r="D130" s="244" t="s">
        <v>58</v>
      </c>
      <c r="E130" s="235" t="s">
        <v>32</v>
      </c>
      <c r="F130" s="235" t="s">
        <v>150</v>
      </c>
      <c r="G130" s="243" t="s">
        <v>146</v>
      </c>
      <c r="H130" s="243">
        <v>33716385359</v>
      </c>
      <c r="I130" s="243" t="s">
        <v>142</v>
      </c>
      <c r="J130" s="8" t="s">
        <v>381</v>
      </c>
      <c r="K130" s="173">
        <v>1</v>
      </c>
      <c r="L130" s="229">
        <v>138300</v>
      </c>
      <c r="M130" s="229">
        <v>29043</v>
      </c>
      <c r="N130" s="10">
        <v>0</v>
      </c>
      <c r="O130" s="10">
        <v>0</v>
      </c>
      <c r="P130" s="10">
        <v>0</v>
      </c>
      <c r="Q130" s="229">
        <v>63000</v>
      </c>
      <c r="R130" s="10">
        <v>0</v>
      </c>
      <c r="S130" s="229">
        <v>7246.8</v>
      </c>
      <c r="T130" s="10">
        <v>0</v>
      </c>
      <c r="U130" s="229">
        <f>+SUM(Tabla1[[#This Row],[IVA 21%]:[IVA 27%]])</f>
        <v>29043</v>
      </c>
      <c r="V130" s="229">
        <f>+SUM(Tabla1[[#This Row],[Neto]:[Impuestos Internos / Otros Tributos]])</f>
        <v>237589.8</v>
      </c>
      <c r="W130" s="229">
        <v>237589.8</v>
      </c>
      <c r="X130" s="229">
        <v>0</v>
      </c>
      <c r="Y130" s="229" t="s">
        <v>324</v>
      </c>
      <c r="Z130" s="229"/>
      <c r="AA130" s="247">
        <v>45583</v>
      </c>
      <c r="AB130" s="229"/>
      <c r="AC130" s="10"/>
      <c r="AD130" s="10"/>
      <c r="AE130" s="10"/>
      <c r="AF130" s="10"/>
      <c r="AG130" s="10"/>
      <c r="AI130" s="10"/>
      <c r="AJ130" s="4" t="s">
        <v>963</v>
      </c>
    </row>
    <row r="131" spans="1:36" ht="13.95" hidden="1" customHeight="1" x14ac:dyDescent="0.3">
      <c r="A131" s="8" t="s">
        <v>25</v>
      </c>
      <c r="B131" s="53">
        <v>45551</v>
      </c>
      <c r="C131" s="12" t="s">
        <v>26</v>
      </c>
      <c r="D131" s="8" t="s">
        <v>27</v>
      </c>
      <c r="E131" s="9" t="s">
        <v>28</v>
      </c>
      <c r="F131" s="9" t="s">
        <v>185</v>
      </c>
      <c r="G131" s="4" t="s">
        <v>186</v>
      </c>
      <c r="H131" s="4">
        <v>27383412361</v>
      </c>
      <c r="I131" s="38" t="s">
        <v>522</v>
      </c>
      <c r="J131" s="8" t="s">
        <v>381</v>
      </c>
      <c r="K131" s="173">
        <v>1</v>
      </c>
      <c r="L131" s="10">
        <v>91200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f>+SUM(Tabla1[[#This Row],[IVA 21%]:[IVA 27%]])</f>
        <v>0</v>
      </c>
      <c r="V131" s="10">
        <f>+SUM(Tabla1[[#This Row],[Neto]:[Impuestos Internos / Otros Tributos]])</f>
        <v>91200</v>
      </c>
      <c r="W131" s="10">
        <v>91200</v>
      </c>
      <c r="X131" s="10">
        <v>0</v>
      </c>
      <c r="Y131" s="10" t="s">
        <v>324</v>
      </c>
      <c r="Z131" s="10"/>
      <c r="AA131" s="110">
        <v>45555</v>
      </c>
      <c r="AB131" s="32">
        <v>91200</v>
      </c>
      <c r="AC131" s="10"/>
      <c r="AD131" s="10"/>
      <c r="AE131" s="10"/>
      <c r="AF131" s="10"/>
      <c r="AG131" s="10"/>
      <c r="AH131" s="10">
        <v>0</v>
      </c>
      <c r="AI131" s="10"/>
      <c r="AJ131" s="188"/>
    </row>
    <row r="132" spans="1:36" ht="13.95" hidden="1" customHeight="1" x14ac:dyDescent="0.3">
      <c r="A132" s="8" t="s">
        <v>25</v>
      </c>
      <c r="B132" s="53">
        <v>45551</v>
      </c>
      <c r="C132" s="12" t="s">
        <v>26</v>
      </c>
      <c r="D132" s="8" t="s">
        <v>58</v>
      </c>
      <c r="E132" s="9" t="s">
        <v>124</v>
      </c>
      <c r="F132" s="9" t="s">
        <v>125</v>
      </c>
      <c r="G132" s="4" t="s">
        <v>126</v>
      </c>
      <c r="H132" s="4">
        <v>30716596831</v>
      </c>
      <c r="I132" s="4" t="s">
        <v>463</v>
      </c>
      <c r="J132" s="8" t="s">
        <v>381</v>
      </c>
      <c r="K132" s="173">
        <v>1</v>
      </c>
      <c r="L132" s="10">
        <v>12066.12</v>
      </c>
      <c r="M132" s="10">
        <v>2533.88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f>+SUM(Tabla1[[#This Row],[IVA 21%]:[IVA 27%]])</f>
        <v>2533.88</v>
      </c>
      <c r="V132" s="10">
        <f>+SUM(Tabla1[[#This Row],[Neto]:[Impuestos Internos / Otros Tributos]])</f>
        <v>14600</v>
      </c>
      <c r="W132" s="10">
        <v>14600</v>
      </c>
      <c r="X132" s="10">
        <v>0</v>
      </c>
      <c r="Y132" s="10" t="s">
        <v>324</v>
      </c>
      <c r="Z132" s="10"/>
      <c r="AA132" s="109"/>
      <c r="AB132" s="26"/>
      <c r="AC132" s="10"/>
      <c r="AD132" s="10"/>
      <c r="AE132" s="10"/>
      <c r="AF132" s="10"/>
      <c r="AG132" s="10"/>
      <c r="AI132" s="10"/>
      <c r="AJ132" s="188"/>
    </row>
    <row r="133" spans="1:36" ht="13.95" hidden="1" customHeight="1" x14ac:dyDescent="0.3">
      <c r="A133" s="8" t="s">
        <v>25</v>
      </c>
      <c r="B133" s="53">
        <v>45551</v>
      </c>
      <c r="C133" s="12" t="s">
        <v>26</v>
      </c>
      <c r="D133" s="8" t="s">
        <v>27</v>
      </c>
      <c r="E133" s="9" t="s">
        <v>37</v>
      </c>
      <c r="F133" s="9" t="s">
        <v>178</v>
      </c>
      <c r="G133" s="4" t="s">
        <v>179</v>
      </c>
      <c r="H133" s="4">
        <v>27405241760</v>
      </c>
      <c r="I133" s="4" t="s">
        <v>173</v>
      </c>
      <c r="J133" s="8" t="s">
        <v>381</v>
      </c>
      <c r="K133" s="173">
        <v>1</v>
      </c>
      <c r="L133" s="10">
        <v>498000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f>+SUM(Tabla1[[#This Row],[IVA 21%]:[IVA 27%]])</f>
        <v>0</v>
      </c>
      <c r="V133" s="10">
        <f>+SUM(Tabla1[[#This Row],[Neto]:[Impuestos Internos / Otros Tributos]])</f>
        <v>498000</v>
      </c>
      <c r="W133" s="10">
        <v>498000</v>
      </c>
      <c r="X133" s="10">
        <v>0</v>
      </c>
      <c r="Y133" s="10" t="s">
        <v>324</v>
      </c>
      <c r="Z133" s="10"/>
      <c r="AA133" s="110">
        <v>45555</v>
      </c>
      <c r="AB133" s="32">
        <v>498000</v>
      </c>
      <c r="AC133" s="10"/>
      <c r="AD133" s="10"/>
      <c r="AE133" s="10"/>
      <c r="AF133" s="10"/>
      <c r="AG133" s="10"/>
      <c r="AH133" s="10">
        <v>0</v>
      </c>
      <c r="AI133" s="10"/>
      <c r="AJ133" s="188"/>
    </row>
    <row r="134" spans="1:36" ht="13.95" hidden="1" customHeight="1" x14ac:dyDescent="0.3">
      <c r="A134" s="8" t="s">
        <v>25</v>
      </c>
      <c r="B134" s="53">
        <v>45551</v>
      </c>
      <c r="C134" s="12" t="s">
        <v>26</v>
      </c>
      <c r="D134" s="8" t="s">
        <v>58</v>
      </c>
      <c r="E134" s="9" t="s">
        <v>32</v>
      </c>
      <c r="F134" s="9" t="s">
        <v>159</v>
      </c>
      <c r="G134" s="4" t="s">
        <v>250</v>
      </c>
      <c r="H134" s="4">
        <v>20343880384</v>
      </c>
      <c r="I134" s="4" t="s">
        <v>161</v>
      </c>
      <c r="J134" s="8" t="s">
        <v>381</v>
      </c>
      <c r="K134" s="173">
        <v>1</v>
      </c>
      <c r="L134" s="10">
        <v>80000</v>
      </c>
      <c r="M134" s="10">
        <f>+Tabla1[[#This Row],[Neto]]*21%</f>
        <v>16800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f>+SUM(Tabla1[[#This Row],[IVA 21%]:[IVA 27%]])</f>
        <v>16800</v>
      </c>
      <c r="V134" s="10">
        <f>+SUM(Tabla1[[#This Row],[Neto]:[Impuestos Internos / Otros Tributos]])</f>
        <v>96800</v>
      </c>
      <c r="W134" s="10">
        <f>+V134</f>
        <v>96800</v>
      </c>
      <c r="X134" s="10"/>
      <c r="Y134" s="10" t="s">
        <v>324</v>
      </c>
      <c r="Z134" s="10"/>
      <c r="AA134" s="110">
        <v>45560</v>
      </c>
      <c r="AB134" s="76">
        <f>+Tabla1[[#This Row],[Total a Pagar]]</f>
        <v>96800</v>
      </c>
      <c r="AH134" s="10">
        <v>0</v>
      </c>
      <c r="AJ134" s="188"/>
    </row>
    <row r="135" spans="1:36" ht="13.95" hidden="1" customHeight="1" x14ac:dyDescent="0.3">
      <c r="A135" s="36" t="s">
        <v>25</v>
      </c>
      <c r="B135" s="55">
        <v>45551</v>
      </c>
      <c r="C135" s="12" t="s">
        <v>26</v>
      </c>
      <c r="D135" s="8" t="s">
        <v>27</v>
      </c>
      <c r="E135" s="9" t="s">
        <v>28</v>
      </c>
      <c r="F135" s="9" t="s">
        <v>143</v>
      </c>
      <c r="G135" s="38" t="s">
        <v>451</v>
      </c>
      <c r="H135" s="38">
        <v>20957725563</v>
      </c>
      <c r="I135" s="38" t="s">
        <v>136</v>
      </c>
      <c r="J135" s="36" t="s">
        <v>381</v>
      </c>
      <c r="K135" s="173">
        <v>1</v>
      </c>
      <c r="L135" s="39">
        <v>30000</v>
      </c>
      <c r="M135" s="39">
        <v>0</v>
      </c>
      <c r="N135" s="39">
        <v>0</v>
      </c>
      <c r="O135" s="39">
        <v>0</v>
      </c>
      <c r="P135" s="39">
        <v>0</v>
      </c>
      <c r="Q135" s="39">
        <v>0</v>
      </c>
      <c r="R135" s="39">
        <v>0</v>
      </c>
      <c r="S135" s="39">
        <v>0</v>
      </c>
      <c r="T135" s="39">
        <v>0</v>
      </c>
      <c r="U135" s="39">
        <f>+SUM(Tabla1[[#This Row],[IVA 21%]:[IVA 27%]])</f>
        <v>0</v>
      </c>
      <c r="V135" s="10">
        <f>+SUM(Tabla1[[#This Row],[Neto]:[Impuestos Internos / Otros Tributos]])</f>
        <v>30000</v>
      </c>
      <c r="W135" s="10">
        <f>+Tabla1[[#This Row],[Total]]</f>
        <v>30000</v>
      </c>
      <c r="X135" s="39">
        <v>0</v>
      </c>
      <c r="Y135" s="10" t="s">
        <v>324</v>
      </c>
      <c r="Z135" s="10"/>
      <c r="AA135" s="107">
        <v>45555</v>
      </c>
      <c r="AB135" s="76">
        <f>+Tabla1[[#This Row],[Total a Pagar]]</f>
        <v>30000</v>
      </c>
      <c r="AC135" s="38"/>
      <c r="AD135" s="38"/>
      <c r="AE135" s="38"/>
      <c r="AF135" s="38"/>
      <c r="AG135" s="38"/>
      <c r="AH135" s="14">
        <v>0</v>
      </c>
      <c r="AI135" s="38"/>
      <c r="AJ135" s="188"/>
    </row>
    <row r="136" spans="1:36" ht="13.95" hidden="1" customHeight="1" x14ac:dyDescent="0.3">
      <c r="A136" s="36" t="s">
        <v>25</v>
      </c>
      <c r="B136" s="55">
        <v>45551</v>
      </c>
      <c r="C136" s="37" t="s">
        <v>26</v>
      </c>
      <c r="D136" s="36" t="s">
        <v>27</v>
      </c>
      <c r="E136" s="45" t="s">
        <v>28</v>
      </c>
      <c r="F136" s="45" t="s">
        <v>388</v>
      </c>
      <c r="G136" s="38" t="s">
        <v>451</v>
      </c>
      <c r="H136" s="38">
        <v>20957725563</v>
      </c>
      <c r="I136" s="38" t="s">
        <v>522</v>
      </c>
      <c r="J136" s="36" t="s">
        <v>381</v>
      </c>
      <c r="K136" s="173">
        <v>1</v>
      </c>
      <c r="L136" s="39">
        <v>1028400</v>
      </c>
      <c r="M136" s="39">
        <v>0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f>+SUM(Tabla1[[#This Row],[IVA 21%]:[IVA 27%]])</f>
        <v>0</v>
      </c>
      <c r="V136" s="10">
        <f>+SUM(Tabla1[[#This Row],[Neto]:[Impuestos Internos / Otros Tributos]])</f>
        <v>1028400</v>
      </c>
      <c r="W136" s="10">
        <f>+Tabla1[[#This Row],[Total]]</f>
        <v>1028400</v>
      </c>
      <c r="X136" s="39">
        <v>0</v>
      </c>
      <c r="Y136" s="10" t="s">
        <v>324</v>
      </c>
      <c r="Z136" s="10"/>
      <c r="AA136" s="107">
        <v>45555</v>
      </c>
      <c r="AB136" s="76">
        <f>+Tabla1[[#This Row],[Total a Pagar]]</f>
        <v>1028400</v>
      </c>
      <c r="AC136" s="38"/>
      <c r="AD136" s="38"/>
      <c r="AE136" s="38"/>
      <c r="AF136" s="38"/>
      <c r="AG136" s="38"/>
      <c r="AH136" s="14">
        <v>0</v>
      </c>
      <c r="AI136" s="38"/>
      <c r="AJ136" s="188"/>
    </row>
    <row r="137" spans="1:36" ht="13.95" hidden="1" customHeight="1" x14ac:dyDescent="0.3">
      <c r="A137" s="8" t="s">
        <v>25</v>
      </c>
      <c r="B137" s="53">
        <v>45552</v>
      </c>
      <c r="C137" s="12" t="s">
        <v>26</v>
      </c>
      <c r="D137" s="8" t="s">
        <v>27</v>
      </c>
      <c r="E137" s="9" t="s">
        <v>74</v>
      </c>
      <c r="F137" s="9" t="s">
        <v>180</v>
      </c>
      <c r="G137" s="4" t="s">
        <v>181</v>
      </c>
      <c r="H137" s="4">
        <v>20952983106</v>
      </c>
      <c r="I137" s="4" t="s">
        <v>173</v>
      </c>
      <c r="J137" s="8" t="s">
        <v>381</v>
      </c>
      <c r="K137" s="173">
        <v>1</v>
      </c>
      <c r="L137" s="10">
        <v>498000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f>+SUM(Tabla1[[#This Row],[IVA 21%]:[IVA 27%]])</f>
        <v>0</v>
      </c>
      <c r="V137" s="10">
        <f>+SUM(Tabla1[[#This Row],[Neto]:[Impuestos Internos / Otros Tributos]])</f>
        <v>498000</v>
      </c>
      <c r="W137" s="10">
        <v>498000</v>
      </c>
      <c r="X137" s="10">
        <v>0</v>
      </c>
      <c r="Y137" s="10" t="s">
        <v>324</v>
      </c>
      <c r="Z137" s="10"/>
      <c r="AA137" s="110">
        <v>45555</v>
      </c>
      <c r="AB137" s="76">
        <v>498000</v>
      </c>
      <c r="AC137" s="10"/>
      <c r="AD137" s="10"/>
      <c r="AE137" s="10"/>
      <c r="AF137" s="10"/>
      <c r="AG137" s="10"/>
      <c r="AH137" s="10">
        <v>0</v>
      </c>
      <c r="AI137" s="10"/>
      <c r="AJ137" s="188"/>
    </row>
    <row r="138" spans="1:36" ht="13.95" hidden="1" customHeight="1" x14ac:dyDescent="0.3">
      <c r="A138" s="8" t="s">
        <v>25</v>
      </c>
      <c r="B138" s="53">
        <v>45552</v>
      </c>
      <c r="C138" s="12" t="s">
        <v>26</v>
      </c>
      <c r="D138" s="8" t="s">
        <v>58</v>
      </c>
      <c r="E138" s="9" t="s">
        <v>28</v>
      </c>
      <c r="F138" s="9" t="s">
        <v>157</v>
      </c>
      <c r="G138" s="4" t="s">
        <v>158</v>
      </c>
      <c r="H138" s="4">
        <v>30718646592</v>
      </c>
      <c r="I138" s="4" t="s">
        <v>142</v>
      </c>
      <c r="J138" s="8" t="s">
        <v>381</v>
      </c>
      <c r="K138" s="173">
        <v>1</v>
      </c>
      <c r="L138" s="10">
        <v>543900</v>
      </c>
      <c r="M138" s="10">
        <v>114219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f>+SUM(Tabla1[[#This Row],[IVA 21%]:[IVA 27%]])</f>
        <v>114219</v>
      </c>
      <c r="V138" s="10">
        <f>+SUM(Tabla1[[#This Row],[Neto]:[Impuestos Internos / Otros Tributos]])</f>
        <v>658119</v>
      </c>
      <c r="W138" s="10">
        <v>658119</v>
      </c>
      <c r="X138" s="10"/>
      <c r="Y138" s="10" t="s">
        <v>324</v>
      </c>
      <c r="Z138" s="10"/>
      <c r="AA138" s="110">
        <v>45555</v>
      </c>
      <c r="AB138" s="32">
        <v>658119</v>
      </c>
      <c r="AC138" s="10"/>
      <c r="AD138" s="10"/>
      <c r="AE138" s="10"/>
      <c r="AF138" s="10"/>
      <c r="AG138" s="10"/>
      <c r="AH138" s="10">
        <v>0</v>
      </c>
      <c r="AI138" s="10"/>
      <c r="AJ138" s="188"/>
    </row>
    <row r="139" spans="1:36" ht="13.95" hidden="1" customHeight="1" x14ac:dyDescent="0.3">
      <c r="A139" s="40" t="s">
        <v>25</v>
      </c>
      <c r="B139" s="57">
        <v>45552</v>
      </c>
      <c r="C139" s="41" t="s">
        <v>26</v>
      </c>
      <c r="D139" s="40" t="s">
        <v>58</v>
      </c>
      <c r="E139" s="42" t="s">
        <v>200</v>
      </c>
      <c r="F139" s="42" t="s">
        <v>499</v>
      </c>
      <c r="G139" s="43" t="s">
        <v>444</v>
      </c>
      <c r="H139" s="43">
        <v>20202328734</v>
      </c>
      <c r="I139" s="43" t="s">
        <v>442</v>
      </c>
      <c r="J139" s="40" t="s">
        <v>381</v>
      </c>
      <c r="K139" s="173">
        <v>1</v>
      </c>
      <c r="L139" s="44">
        <v>19433.89</v>
      </c>
      <c r="M139" s="44">
        <f>+Tabla1[[#This Row],[Neto]]*21%</f>
        <v>4081.1168999999995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4">
        <v>0</v>
      </c>
      <c r="U139" s="44">
        <f>+SUM(Tabla1[[#This Row],[IVA 21%]:[IVA 27%]])</f>
        <v>4081.1168999999995</v>
      </c>
      <c r="V139" s="44">
        <f>+SUM(Tabla1[[#This Row],[Neto]:[Impuestos Internos / Otros Tributos]])</f>
        <v>23515.0069</v>
      </c>
      <c r="W139" s="44">
        <f>+Tabla1[[#This Row],[Total]]</f>
        <v>23515.0069</v>
      </c>
      <c r="X139" s="44">
        <v>0</v>
      </c>
      <c r="Y139" s="44" t="s">
        <v>324</v>
      </c>
      <c r="Z139" s="44"/>
      <c r="AA139" s="111"/>
      <c r="AB139" s="44"/>
      <c r="AC139" s="43"/>
      <c r="AD139" s="43"/>
      <c r="AE139" s="43"/>
      <c r="AF139" s="43"/>
      <c r="AG139" s="43"/>
      <c r="AH139" s="44"/>
      <c r="AI139" s="43"/>
      <c r="AJ139" s="188"/>
    </row>
    <row r="140" spans="1:36" ht="13.95" hidden="1" customHeight="1" x14ac:dyDescent="0.3">
      <c r="A140" s="8" t="s">
        <v>25</v>
      </c>
      <c r="B140" s="53">
        <v>45552</v>
      </c>
      <c r="C140" s="12" t="s">
        <v>26</v>
      </c>
      <c r="D140" s="8" t="s">
        <v>27</v>
      </c>
      <c r="E140" s="9" t="s">
        <v>28</v>
      </c>
      <c r="F140" s="9" t="s">
        <v>191</v>
      </c>
      <c r="G140" s="4" t="s">
        <v>251</v>
      </c>
      <c r="H140" s="4">
        <v>27412965316</v>
      </c>
      <c r="I140" s="4" t="s">
        <v>252</v>
      </c>
      <c r="J140" s="8" t="s">
        <v>381</v>
      </c>
      <c r="K140" s="173">
        <v>1</v>
      </c>
      <c r="L140" s="10">
        <v>24000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f>+SUM(Tabla1[[#This Row],[IVA 21%]:[IVA 27%]])</f>
        <v>0</v>
      </c>
      <c r="V140" s="10">
        <f>+SUM(Tabla1[[#This Row],[Neto]:[Impuestos Internos / Otros Tributos]])</f>
        <v>24000</v>
      </c>
      <c r="W140" s="10">
        <f>+Tabla1[[#This Row],[Total]]</f>
        <v>24000</v>
      </c>
      <c r="X140" s="10"/>
      <c r="Y140" s="10" t="s">
        <v>324</v>
      </c>
      <c r="Z140" s="10"/>
      <c r="AA140" s="110">
        <v>45560</v>
      </c>
      <c r="AB140" s="32">
        <f>+Tabla1[[#This Row],[Total a Pagar]]</f>
        <v>24000</v>
      </c>
      <c r="AH140" s="10">
        <v>0</v>
      </c>
      <c r="AJ140" s="188"/>
    </row>
    <row r="141" spans="1:36" ht="13.95" hidden="1" customHeight="1" x14ac:dyDescent="0.3">
      <c r="A141" s="8" t="s">
        <v>25</v>
      </c>
      <c r="B141" s="53">
        <v>45552</v>
      </c>
      <c r="C141" s="12" t="s">
        <v>26</v>
      </c>
      <c r="D141" s="8" t="s">
        <v>27</v>
      </c>
      <c r="E141" s="9" t="s">
        <v>28</v>
      </c>
      <c r="F141" s="9" t="s">
        <v>253</v>
      </c>
      <c r="G141" s="4" t="s">
        <v>251</v>
      </c>
      <c r="H141" s="4">
        <v>27412965316</v>
      </c>
      <c r="I141" s="4" t="s">
        <v>161</v>
      </c>
      <c r="J141" s="8" t="s">
        <v>381</v>
      </c>
      <c r="K141" s="173">
        <v>1</v>
      </c>
      <c r="L141" s="10">
        <v>672000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f>+SUM(Tabla1[[#This Row],[IVA 21%]:[IVA 27%]])</f>
        <v>0</v>
      </c>
      <c r="V141" s="10">
        <f>+SUM(Tabla1[[#This Row],[Neto]:[Impuestos Internos / Otros Tributos]])</f>
        <v>672000</v>
      </c>
      <c r="W141" s="10">
        <f>+Tabla1[[#This Row],[Total]]</f>
        <v>672000</v>
      </c>
      <c r="X141" s="10"/>
      <c r="Y141" s="10" t="s">
        <v>324</v>
      </c>
      <c r="Z141" s="10"/>
      <c r="AA141" s="110">
        <v>45560</v>
      </c>
      <c r="AB141" s="76">
        <f>+Tabla1[[#This Row],[Total a Pagar]]</f>
        <v>672000</v>
      </c>
      <c r="AH141" s="10">
        <v>0</v>
      </c>
      <c r="AJ141" s="188"/>
    </row>
    <row r="142" spans="1:36" ht="13.95" hidden="1" customHeight="1" x14ac:dyDescent="0.3">
      <c r="A142" s="8" t="s">
        <v>25</v>
      </c>
      <c r="B142" s="53">
        <v>45552</v>
      </c>
      <c r="C142" s="12" t="s">
        <v>26</v>
      </c>
      <c r="D142" s="8" t="s">
        <v>27</v>
      </c>
      <c r="E142" s="9" t="s">
        <v>28</v>
      </c>
      <c r="F142" s="9" t="s">
        <v>143</v>
      </c>
      <c r="G142" s="4" t="s">
        <v>144</v>
      </c>
      <c r="H142" s="4">
        <v>20306367553</v>
      </c>
      <c r="I142" s="4" t="s">
        <v>526</v>
      </c>
      <c r="J142" s="8" t="s">
        <v>381</v>
      </c>
      <c r="K142" s="173">
        <v>1</v>
      </c>
      <c r="L142" s="10">
        <v>294000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f>+SUM(Tabla1[[#This Row],[IVA 21%]:[IVA 27%]])</f>
        <v>0</v>
      </c>
      <c r="V142" s="10">
        <f>+SUM(Tabla1[[#This Row],[Neto]:[Impuestos Internos / Otros Tributos]])</f>
        <v>294000</v>
      </c>
      <c r="W142" s="10">
        <v>294000</v>
      </c>
      <c r="X142" s="10">
        <v>0</v>
      </c>
      <c r="Y142" s="10" t="s">
        <v>324</v>
      </c>
      <c r="Z142" s="10"/>
      <c r="AA142" s="110">
        <v>45555</v>
      </c>
      <c r="AB142" s="76">
        <v>294000</v>
      </c>
      <c r="AC142" s="10"/>
      <c r="AD142" s="10"/>
      <c r="AE142" s="10"/>
      <c r="AF142" s="10"/>
      <c r="AG142" s="10"/>
      <c r="AH142" s="10">
        <v>0</v>
      </c>
      <c r="AI142" s="10"/>
      <c r="AJ142" s="188"/>
    </row>
    <row r="143" spans="1:36" ht="13.95" hidden="1" customHeight="1" x14ac:dyDescent="0.3">
      <c r="A143" s="8" t="s">
        <v>25</v>
      </c>
      <c r="B143" s="53">
        <v>45552</v>
      </c>
      <c r="C143" s="12" t="s">
        <v>26</v>
      </c>
      <c r="D143" s="8" t="s">
        <v>27</v>
      </c>
      <c r="E143" s="9" t="s">
        <v>37</v>
      </c>
      <c r="F143" s="9" t="s">
        <v>189</v>
      </c>
      <c r="G143" s="4" t="s">
        <v>190</v>
      </c>
      <c r="H143" s="4">
        <v>27299177683</v>
      </c>
      <c r="I143" s="4" t="s">
        <v>522</v>
      </c>
      <c r="J143" s="8" t="s">
        <v>381</v>
      </c>
      <c r="K143" s="173">
        <v>1</v>
      </c>
      <c r="L143" s="10">
        <v>240000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f>+SUM(Tabla1[[#This Row],[IVA 21%]:[IVA 27%]])</f>
        <v>0</v>
      </c>
      <c r="V143" s="10">
        <f>+SUM(Tabla1[[#This Row],[Neto]:[Impuestos Internos / Otros Tributos]])</f>
        <v>240000</v>
      </c>
      <c r="W143" s="10">
        <v>240000</v>
      </c>
      <c r="X143" s="10">
        <v>0</v>
      </c>
      <c r="Y143" s="10" t="s">
        <v>324</v>
      </c>
      <c r="Z143" s="10"/>
      <c r="AA143" s="110">
        <v>45555</v>
      </c>
      <c r="AB143" s="32">
        <v>240000</v>
      </c>
      <c r="AC143" s="10"/>
      <c r="AD143" s="10"/>
      <c r="AE143" s="10"/>
      <c r="AF143" s="10"/>
      <c r="AG143" s="10"/>
      <c r="AH143" s="10">
        <v>0</v>
      </c>
      <c r="AI143" s="10"/>
      <c r="AJ143" s="188"/>
    </row>
    <row r="144" spans="1:36" ht="13.95" hidden="1" customHeight="1" x14ac:dyDescent="0.3">
      <c r="A144" s="8" t="s">
        <v>25</v>
      </c>
      <c r="B144" s="53">
        <v>45552</v>
      </c>
      <c r="C144" s="12" t="s">
        <v>26</v>
      </c>
      <c r="D144" s="8" t="s">
        <v>58</v>
      </c>
      <c r="E144" s="9" t="s">
        <v>107</v>
      </c>
      <c r="F144" s="9" t="s">
        <v>299</v>
      </c>
      <c r="G144" s="4" t="s">
        <v>300</v>
      </c>
      <c r="H144" s="4">
        <v>30715165763</v>
      </c>
      <c r="I144" s="4" t="s">
        <v>301</v>
      </c>
      <c r="J144" s="8" t="s">
        <v>381</v>
      </c>
      <c r="K144" s="173">
        <v>1</v>
      </c>
      <c r="L144" s="10">
        <v>5785.12</v>
      </c>
      <c r="M144" s="10">
        <f>+Tabla1[[#This Row],[Neto]]*21%</f>
        <v>1214.8751999999999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f>+SUM(Tabla1[[#This Row],[IVA 21%]:[IVA 27%]])</f>
        <v>1214.8751999999999</v>
      </c>
      <c r="V144" s="10">
        <f>+SUM(Tabla1[[#This Row],[Neto]:[Impuestos Internos / Otros Tributos]])</f>
        <v>6999.9951999999994</v>
      </c>
      <c r="W144" s="10">
        <f>+Tabla1[[#This Row],[Total]]</f>
        <v>6999.9951999999994</v>
      </c>
      <c r="X144" s="10"/>
      <c r="Y144" s="10" t="s">
        <v>324</v>
      </c>
      <c r="Z144" s="10"/>
      <c r="AA144" s="110"/>
      <c r="AB144" s="10">
        <v>0</v>
      </c>
      <c r="AH144" s="32">
        <f>+Tabla1[[#This Row],[Total a Pagar]]</f>
        <v>6999.9951999999994</v>
      </c>
      <c r="AJ144" s="188"/>
    </row>
    <row r="145" spans="1:36" ht="13.95" hidden="1" customHeight="1" x14ac:dyDescent="0.3">
      <c r="A145" s="8" t="s">
        <v>25</v>
      </c>
      <c r="B145" s="53">
        <v>45552</v>
      </c>
      <c r="C145" s="12" t="s">
        <v>26</v>
      </c>
      <c r="D145" s="8" t="s">
        <v>58</v>
      </c>
      <c r="E145" s="9" t="s">
        <v>151</v>
      </c>
      <c r="F145" s="9" t="s">
        <v>264</v>
      </c>
      <c r="G145" s="4" t="s">
        <v>278</v>
      </c>
      <c r="H145" s="4">
        <v>20072806078</v>
      </c>
      <c r="I145" s="4" t="s">
        <v>265</v>
      </c>
      <c r="J145" s="8" t="s">
        <v>381</v>
      </c>
      <c r="K145" s="173">
        <v>1</v>
      </c>
      <c r="L145" s="10">
        <v>522297.19</v>
      </c>
      <c r="M145" s="10">
        <v>108605.31</v>
      </c>
      <c r="N145" s="10">
        <v>538.54999999999995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f>+SUM(Tabla1[[#This Row],[IVA 21%]:[IVA 27%]])</f>
        <v>109143.86</v>
      </c>
      <c r="V145" s="10">
        <f>+SUM(Tabla1[[#This Row],[Neto]:[Impuestos Internos / Otros Tributos]])</f>
        <v>631441.05000000005</v>
      </c>
      <c r="W145" s="10">
        <f>+Tabla1[[#This Row],[Total]]</f>
        <v>631441.05000000005</v>
      </c>
      <c r="X145" s="10"/>
      <c r="Y145" s="10" t="s">
        <v>324</v>
      </c>
      <c r="Z145" s="10"/>
      <c r="AA145" s="110">
        <v>45552</v>
      </c>
      <c r="AB145" s="32">
        <f>+Tabla1[[#This Row],[Total a Pagar]]</f>
        <v>631441.05000000005</v>
      </c>
      <c r="AH145" s="10">
        <v>0</v>
      </c>
      <c r="AJ145" s="188"/>
    </row>
    <row r="146" spans="1:36" ht="13.95" hidden="1" customHeight="1" x14ac:dyDescent="0.3">
      <c r="A146" s="8" t="s">
        <v>25</v>
      </c>
      <c r="B146" s="53">
        <v>45552</v>
      </c>
      <c r="C146" s="12" t="s">
        <v>26</v>
      </c>
      <c r="D146" s="8" t="s">
        <v>27</v>
      </c>
      <c r="E146" s="9" t="s">
        <v>28</v>
      </c>
      <c r="F146" s="9" t="s">
        <v>137</v>
      </c>
      <c r="G146" s="4" t="s">
        <v>357</v>
      </c>
      <c r="H146" s="4">
        <v>20264261555</v>
      </c>
      <c r="I146" s="4" t="s">
        <v>358</v>
      </c>
      <c r="J146" s="8" t="s">
        <v>381</v>
      </c>
      <c r="K146" s="173">
        <v>1</v>
      </c>
      <c r="L146" s="10">
        <v>99840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f>+SUM(Tabla1[[#This Row],[IVA 21%]:[IVA 27%]])</f>
        <v>0</v>
      </c>
      <c r="V146" s="10">
        <f>+SUM(Tabla1[[#This Row],[Neto]:[Impuestos Internos / Otros Tributos]])</f>
        <v>99840</v>
      </c>
      <c r="W146" s="10">
        <f>+Tabla1[[#This Row],[Total]]</f>
        <v>99840</v>
      </c>
      <c r="X146" s="10">
        <v>0</v>
      </c>
      <c r="Y146" s="4"/>
      <c r="Z146" s="4"/>
      <c r="AA146" s="109"/>
      <c r="AJ146" s="188"/>
    </row>
    <row r="147" spans="1:36" ht="13.95" hidden="1" customHeight="1" x14ac:dyDescent="0.3">
      <c r="A147" s="8" t="s">
        <v>25</v>
      </c>
      <c r="B147" s="53">
        <v>45552</v>
      </c>
      <c r="C147" s="12" t="s">
        <v>26</v>
      </c>
      <c r="D147" s="8" t="s">
        <v>70</v>
      </c>
      <c r="E147" s="9" t="s">
        <v>151</v>
      </c>
      <c r="F147" s="9" t="s">
        <v>724</v>
      </c>
      <c r="G147" s="4" t="s">
        <v>444</v>
      </c>
      <c r="H147" s="4">
        <v>20202328734</v>
      </c>
      <c r="I147" s="4" t="s">
        <v>715</v>
      </c>
      <c r="J147" s="8" t="s">
        <v>381</v>
      </c>
      <c r="K147" s="173">
        <v>1</v>
      </c>
      <c r="L147" s="10">
        <v>2800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f>+SUM(Tabla1[[#This Row],[IVA 21%]:[IVA 27%]])</f>
        <v>0</v>
      </c>
      <c r="V147" s="10">
        <f>+SUM(Tabla1[[#This Row],[Neto]:[Impuestos Internos / Otros Tributos]])</f>
        <v>2800</v>
      </c>
      <c r="W147" s="10">
        <f>+Tabla1[[#This Row],[Total]]</f>
        <v>2800</v>
      </c>
      <c r="X147" s="10">
        <v>0</v>
      </c>
      <c r="Y147" s="49" t="s">
        <v>324</v>
      </c>
      <c r="AA147" s="109">
        <v>45552</v>
      </c>
      <c r="AB147" s="10">
        <v>0</v>
      </c>
      <c r="AH147" s="32">
        <f>+Tabla1[[#This Row],[Total a Pagar]]</f>
        <v>2800</v>
      </c>
      <c r="AJ147" s="188"/>
    </row>
    <row r="148" spans="1:36" ht="13.95" hidden="1" customHeight="1" x14ac:dyDescent="0.3">
      <c r="A148" s="8" t="s">
        <v>25</v>
      </c>
      <c r="B148" s="53">
        <v>45552</v>
      </c>
      <c r="C148" s="12" t="s">
        <v>26</v>
      </c>
      <c r="D148" s="8" t="s">
        <v>58</v>
      </c>
      <c r="E148" s="9" t="s">
        <v>769</v>
      </c>
      <c r="F148" s="9" t="s">
        <v>770</v>
      </c>
      <c r="G148" s="4" t="s">
        <v>768</v>
      </c>
      <c r="H148" s="4">
        <v>30657865725</v>
      </c>
      <c r="I148" s="4" t="s">
        <v>771</v>
      </c>
      <c r="J148" s="8" t="s">
        <v>381</v>
      </c>
      <c r="K148" s="173">
        <v>1</v>
      </c>
      <c r="L148" s="10">
        <f>80744.63+36829.93</f>
        <v>117574.56</v>
      </c>
      <c r="M148" s="10">
        <v>0</v>
      </c>
      <c r="N148" s="10">
        <v>0</v>
      </c>
      <c r="O148" s="10">
        <v>31745.14</v>
      </c>
      <c r="P148" s="10">
        <v>0</v>
      </c>
      <c r="Q148" s="10">
        <v>0</v>
      </c>
      <c r="R148" s="10">
        <v>3527.24</v>
      </c>
      <c r="S148" s="10">
        <v>0</v>
      </c>
      <c r="T148" s="10">
        <v>2788.35</v>
      </c>
      <c r="U148" s="10">
        <f>+SUM(Tabla1[[#This Row],[IVA 21%]:[IVA 27%]])</f>
        <v>31745.14</v>
      </c>
      <c r="V148" s="10">
        <f>+SUM(Tabla1[[#This Row],[Neto]:[Impuestos Internos / Otros Tributos]])</f>
        <v>155635.29</v>
      </c>
      <c r="W148" s="82">
        <f>+Tabla1[[#This Row],[Total]]</f>
        <v>155635.29</v>
      </c>
      <c r="X148" s="10">
        <v>0</v>
      </c>
      <c r="Y148" s="49" t="s">
        <v>324</v>
      </c>
      <c r="AA148" s="109">
        <v>45579</v>
      </c>
      <c r="AB148" s="10">
        <v>0</v>
      </c>
      <c r="AH148" s="32">
        <f>+Tabla1[[#This Row],[Total a Pagar]]</f>
        <v>155635.29</v>
      </c>
      <c r="AJ148" s="188"/>
    </row>
    <row r="149" spans="1:36" ht="13.95" hidden="1" customHeight="1" x14ac:dyDescent="0.3">
      <c r="A149" s="8" t="s">
        <v>25</v>
      </c>
      <c r="B149" s="53">
        <v>45553</v>
      </c>
      <c r="C149" s="12" t="s">
        <v>26</v>
      </c>
      <c r="D149" s="8" t="s">
        <v>27</v>
      </c>
      <c r="E149" s="9" t="s">
        <v>37</v>
      </c>
      <c r="F149" s="9" t="s">
        <v>371</v>
      </c>
      <c r="G149" s="4" t="s">
        <v>393</v>
      </c>
      <c r="H149" s="4">
        <v>27328052887</v>
      </c>
      <c r="I149" s="4" t="s">
        <v>522</v>
      </c>
      <c r="J149" s="8" t="s">
        <v>381</v>
      </c>
      <c r="K149" s="173">
        <v>1</v>
      </c>
      <c r="L149" s="10">
        <v>683400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f>+SUM(Tabla1[[#This Row],[IVA 21%]:[IVA 27%]])</f>
        <v>0</v>
      </c>
      <c r="V149" s="10">
        <f>+SUM(Tabla1[[#This Row],[Neto]:[Impuestos Internos / Otros Tributos]])</f>
        <v>683400</v>
      </c>
      <c r="W149" s="10">
        <f>+Tabla1[[#This Row],[Total]]</f>
        <v>683400</v>
      </c>
      <c r="X149" s="10">
        <v>0</v>
      </c>
      <c r="Y149" s="10" t="s">
        <v>324</v>
      </c>
      <c r="Z149" s="10"/>
      <c r="AA149" s="109">
        <v>45555</v>
      </c>
      <c r="AB149" s="32">
        <f>+Tabla1[[#This Row],[Total a Pagar]]</f>
        <v>683400</v>
      </c>
      <c r="AH149" s="10">
        <v>0</v>
      </c>
      <c r="AJ149" s="188"/>
    </row>
    <row r="150" spans="1:36" ht="13.95" hidden="1" customHeight="1" x14ac:dyDescent="0.3">
      <c r="A150" s="8" t="s">
        <v>25</v>
      </c>
      <c r="B150" s="53">
        <v>45553</v>
      </c>
      <c r="C150" s="12" t="s">
        <v>26</v>
      </c>
      <c r="D150" s="8" t="s">
        <v>58</v>
      </c>
      <c r="E150" s="9" t="s">
        <v>32</v>
      </c>
      <c r="F150" s="9" t="s">
        <v>196</v>
      </c>
      <c r="G150" s="4" t="s">
        <v>61</v>
      </c>
      <c r="H150" s="4">
        <v>30716375184</v>
      </c>
      <c r="I150" s="4" t="s">
        <v>62</v>
      </c>
      <c r="J150" s="8" t="s">
        <v>381</v>
      </c>
      <c r="K150" s="173">
        <v>1</v>
      </c>
      <c r="L150" s="10">
        <v>35355.4</v>
      </c>
      <c r="M150" s="10">
        <v>7424.634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f>+SUM(Tabla1[[#This Row],[IVA 21%]:[IVA 27%]])</f>
        <v>7424.634</v>
      </c>
      <c r="V150" s="10">
        <f>+SUM(Tabla1[[#This Row],[Neto]:[Impuestos Internos / Otros Tributos]])</f>
        <v>42780.034</v>
      </c>
      <c r="W150" s="10">
        <v>42780.034</v>
      </c>
      <c r="X150" s="10"/>
      <c r="Y150" s="10" t="s">
        <v>324</v>
      </c>
      <c r="Z150" s="10"/>
      <c r="AA150" s="110"/>
      <c r="AB150" s="26">
        <v>0</v>
      </c>
      <c r="AC150" s="10"/>
      <c r="AD150" s="10"/>
      <c r="AE150" s="10"/>
      <c r="AF150" s="10"/>
      <c r="AG150" s="10"/>
      <c r="AH150" s="32">
        <v>42780.034</v>
      </c>
      <c r="AI150" s="10"/>
      <c r="AJ150" s="188"/>
    </row>
    <row r="151" spans="1:36" ht="13.95" hidden="1" customHeight="1" x14ac:dyDescent="0.3">
      <c r="A151" s="8" t="s">
        <v>25</v>
      </c>
      <c r="B151" s="53">
        <v>45553</v>
      </c>
      <c r="C151" s="12" t="s">
        <v>26</v>
      </c>
      <c r="D151" s="8" t="s">
        <v>58</v>
      </c>
      <c r="E151" s="9" t="s">
        <v>32</v>
      </c>
      <c r="F151" s="9" t="s">
        <v>197</v>
      </c>
      <c r="G151" s="4" t="s">
        <v>61</v>
      </c>
      <c r="H151" s="4">
        <v>30716375184</v>
      </c>
      <c r="I151" s="4" t="s">
        <v>62</v>
      </c>
      <c r="J151" s="8" t="s">
        <v>381</v>
      </c>
      <c r="K151" s="173">
        <v>1</v>
      </c>
      <c r="L151" s="10">
        <v>17941.75</v>
      </c>
      <c r="M151" s="10">
        <v>3767.7674999999999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f>+SUM(Tabla1[[#This Row],[IVA 21%]:[IVA 27%]])</f>
        <v>3767.7674999999999</v>
      </c>
      <c r="V151" s="10">
        <f>+SUM(Tabla1[[#This Row],[Neto]:[Impuestos Internos / Otros Tributos]])</f>
        <v>21709.517500000002</v>
      </c>
      <c r="W151" s="10">
        <v>21709.517500000002</v>
      </c>
      <c r="X151" s="10"/>
      <c r="Y151" s="10" t="s">
        <v>324</v>
      </c>
      <c r="Z151" s="10"/>
      <c r="AA151" s="110"/>
      <c r="AB151" s="26">
        <v>0</v>
      </c>
      <c r="AC151" s="10"/>
      <c r="AD151" s="10"/>
      <c r="AE151" s="10"/>
      <c r="AF151" s="10"/>
      <c r="AG151" s="10"/>
      <c r="AH151" s="32">
        <v>21709.517500000002</v>
      </c>
      <c r="AI151" s="10"/>
      <c r="AJ151" s="188"/>
    </row>
    <row r="152" spans="1:36" ht="13.95" hidden="1" customHeight="1" x14ac:dyDescent="0.3">
      <c r="A152" s="28" t="s">
        <v>25</v>
      </c>
      <c r="B152" s="58">
        <v>45553</v>
      </c>
      <c r="C152" s="12" t="s">
        <v>26</v>
      </c>
      <c r="D152" s="8" t="s">
        <v>27</v>
      </c>
      <c r="E152" s="9" t="s">
        <v>37</v>
      </c>
      <c r="F152" s="9" t="s">
        <v>407</v>
      </c>
      <c r="G152" s="30" t="s">
        <v>408</v>
      </c>
      <c r="H152" s="30">
        <v>27358228246</v>
      </c>
      <c r="I152" s="30" t="s">
        <v>409</v>
      </c>
      <c r="J152" s="28" t="s">
        <v>381</v>
      </c>
      <c r="K152" s="173">
        <v>1</v>
      </c>
      <c r="L152" s="31">
        <v>24000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f>+SUM(Tabla1[[#This Row],[IVA 21%]:[IVA 27%]])</f>
        <v>0</v>
      </c>
      <c r="V152" s="10">
        <f>+SUM(Tabla1[[#This Row],[Neto]:[Impuestos Internos / Otros Tributos]])</f>
        <v>24000</v>
      </c>
      <c r="W152" s="31">
        <f>+Tabla1[[#This Row],[Total]]</f>
        <v>24000</v>
      </c>
      <c r="X152" s="31">
        <v>0</v>
      </c>
      <c r="Y152" s="14" t="s">
        <v>324</v>
      </c>
      <c r="Z152" s="14"/>
      <c r="AA152" s="112">
        <v>45573</v>
      </c>
      <c r="AB152" s="34">
        <f>+Tabla1[[#This Row],[Total a Pagar]]</f>
        <v>24000</v>
      </c>
      <c r="AC152" s="30"/>
      <c r="AD152" s="30"/>
      <c r="AE152" s="30"/>
      <c r="AF152" s="30"/>
      <c r="AG152" s="30"/>
      <c r="AH152" s="31">
        <v>0</v>
      </c>
      <c r="AI152" s="30"/>
      <c r="AJ152" s="188"/>
    </row>
    <row r="153" spans="1:36" ht="13.95" hidden="1" customHeight="1" x14ac:dyDescent="0.3">
      <c r="A153" s="8" t="s">
        <v>25</v>
      </c>
      <c r="B153" s="53">
        <v>45553</v>
      </c>
      <c r="C153" s="12" t="s">
        <v>26</v>
      </c>
      <c r="D153" s="8" t="s">
        <v>27</v>
      </c>
      <c r="E153" s="9" t="s">
        <v>37</v>
      </c>
      <c r="F153" s="9" t="s">
        <v>432</v>
      </c>
      <c r="G153" s="4" t="s">
        <v>408</v>
      </c>
      <c r="H153" s="30">
        <v>27358228246</v>
      </c>
      <c r="I153" s="4" t="s">
        <v>433</v>
      </c>
      <c r="J153" s="28" t="s">
        <v>381</v>
      </c>
      <c r="K153" s="173">
        <v>1</v>
      </c>
      <c r="L153" s="10">
        <v>49716.14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f>+SUM(Tabla1[[#This Row],[IVA 21%]:[IVA 27%]])</f>
        <v>0</v>
      </c>
      <c r="V153" s="10">
        <f>+SUM(Tabla1[[#This Row],[Neto]:[Impuestos Internos / Otros Tributos]])</f>
        <v>49716.14</v>
      </c>
      <c r="W153" s="31">
        <f>+Tabla1[[#This Row],[Total]]</f>
        <v>49716.14</v>
      </c>
      <c r="X153" s="10">
        <v>0</v>
      </c>
      <c r="Y153" s="14" t="s">
        <v>324</v>
      </c>
      <c r="Z153" s="14"/>
      <c r="AA153" s="109">
        <v>45574</v>
      </c>
      <c r="AB153" s="34">
        <f>+Tabla1[[#This Row],[Total a Pagar]]</f>
        <v>49716.14</v>
      </c>
      <c r="AH153" s="10">
        <v>0</v>
      </c>
      <c r="AJ153" s="188"/>
    </row>
    <row r="154" spans="1:36" ht="13.95" hidden="1" customHeight="1" x14ac:dyDescent="0.3">
      <c r="A154" s="8" t="s">
        <v>25</v>
      </c>
      <c r="B154" s="53">
        <v>45553</v>
      </c>
      <c r="C154" s="12" t="s">
        <v>26</v>
      </c>
      <c r="D154" s="8" t="s">
        <v>58</v>
      </c>
      <c r="E154" s="9" t="s">
        <v>64</v>
      </c>
      <c r="F154" s="9" t="s">
        <v>198</v>
      </c>
      <c r="G154" s="4" t="s">
        <v>66</v>
      </c>
      <c r="H154" s="4">
        <v>30673770483</v>
      </c>
      <c r="I154" s="4" t="s">
        <v>62</v>
      </c>
      <c r="J154" s="8" t="s">
        <v>381</v>
      </c>
      <c r="K154" s="173">
        <v>1</v>
      </c>
      <c r="L154" s="10">
        <v>19954.38</v>
      </c>
      <c r="M154" s="10">
        <v>4190.42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718.35768000000007</v>
      </c>
      <c r="T154" s="10">
        <v>0</v>
      </c>
      <c r="U154" s="10">
        <f>+SUM(Tabla1[[#This Row],[IVA 21%]:[IVA 27%]])</f>
        <v>4190.42</v>
      </c>
      <c r="V154" s="10">
        <f>+SUM(Tabla1[[#This Row],[Neto]:[Impuestos Internos / Otros Tributos]])</f>
        <v>24863.157680000004</v>
      </c>
      <c r="W154" s="10">
        <v>24863.157680000004</v>
      </c>
      <c r="X154" s="10"/>
      <c r="Y154" s="10" t="s">
        <v>324</v>
      </c>
      <c r="Z154" s="10"/>
      <c r="AA154" s="110"/>
      <c r="AB154" s="10">
        <v>0</v>
      </c>
      <c r="AC154" s="10"/>
      <c r="AD154" s="10"/>
      <c r="AE154" s="10"/>
      <c r="AF154" s="10"/>
      <c r="AG154" s="10"/>
      <c r="AH154" s="32">
        <v>24863.157680000004</v>
      </c>
      <c r="AI154" s="10"/>
      <c r="AJ154" s="188"/>
    </row>
    <row r="155" spans="1:36" ht="13.95" hidden="1" customHeight="1" x14ac:dyDescent="0.3">
      <c r="A155" s="8" t="s">
        <v>25</v>
      </c>
      <c r="B155" s="53">
        <v>45553</v>
      </c>
      <c r="C155" s="12" t="s">
        <v>26</v>
      </c>
      <c r="D155" s="8" t="s">
        <v>27</v>
      </c>
      <c r="E155" s="9" t="s">
        <v>37</v>
      </c>
      <c r="F155" s="9" t="s">
        <v>233</v>
      </c>
      <c r="G155" s="4" t="s">
        <v>234</v>
      </c>
      <c r="H155" s="4">
        <v>20271839503</v>
      </c>
      <c r="I155" s="4" t="s">
        <v>136</v>
      </c>
      <c r="J155" s="8" t="s">
        <v>381</v>
      </c>
      <c r="K155" s="173">
        <v>1</v>
      </c>
      <c r="L155" s="10">
        <v>307163.07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f>+SUM(Tabla1[[#This Row],[IVA 21%]:[IVA 27%]])</f>
        <v>0</v>
      </c>
      <c r="V155" s="10">
        <f>+SUM(Tabla1[[#This Row],[Neto]:[Impuestos Internos / Otros Tributos]])</f>
        <v>307163.07</v>
      </c>
      <c r="W155" s="10">
        <f>+V155</f>
        <v>307163.07</v>
      </c>
      <c r="X155" s="10">
        <v>0</v>
      </c>
      <c r="Y155" s="10" t="s">
        <v>324</v>
      </c>
      <c r="Z155" s="10"/>
      <c r="AA155" s="110">
        <v>45562</v>
      </c>
      <c r="AB155" s="32">
        <f>+Tabla1[[#This Row],[Total a Pagar]]</f>
        <v>307163.07</v>
      </c>
      <c r="AH155" s="10">
        <v>0</v>
      </c>
      <c r="AJ155" s="188"/>
    </row>
    <row r="156" spans="1:36" ht="13.95" hidden="1" customHeight="1" x14ac:dyDescent="0.3">
      <c r="A156" s="28" t="s">
        <v>25</v>
      </c>
      <c r="B156" s="58">
        <v>45554</v>
      </c>
      <c r="C156" s="29" t="s">
        <v>26</v>
      </c>
      <c r="D156" s="28" t="s">
        <v>58</v>
      </c>
      <c r="E156" s="35" t="s">
        <v>32</v>
      </c>
      <c r="F156" s="35" t="s">
        <v>377</v>
      </c>
      <c r="G156" s="30" t="s">
        <v>378</v>
      </c>
      <c r="H156" s="30">
        <v>30716111748</v>
      </c>
      <c r="I156" s="30" t="s">
        <v>379</v>
      </c>
      <c r="J156" s="8" t="s">
        <v>381</v>
      </c>
      <c r="K156" s="173">
        <v>1</v>
      </c>
      <c r="L156" s="31">
        <v>209958.508</v>
      </c>
      <c r="M156" s="31">
        <f>+Tabla1[[#This Row],[Neto]]*21%</f>
        <v>44091.286679999997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10">
        <f>+SUM(Tabla1[[#This Row],[IVA 21%]:[IVA 27%]])</f>
        <v>44091.286679999997</v>
      </c>
      <c r="V156" s="10">
        <f>+SUM(Tabla1[[#This Row],[Neto]:[Impuestos Internos / Otros Tributos]])</f>
        <v>254049.79467999999</v>
      </c>
      <c r="W156" s="10">
        <f>+SUM(Tabla1[[#This Row],[Neto]:[Impuestos Internos / Otros Tributos]])</f>
        <v>254049.79467999999</v>
      </c>
      <c r="X156" s="31">
        <v>0</v>
      </c>
      <c r="Y156" s="14" t="s">
        <v>324</v>
      </c>
      <c r="Z156" s="14"/>
      <c r="AA156" s="112">
        <v>45568</v>
      </c>
      <c r="AB156" s="34">
        <f>+Tabla1[[#This Row],[Total a Pagar]]</f>
        <v>254049.79467999999</v>
      </c>
      <c r="AC156" s="30"/>
      <c r="AD156" s="30"/>
      <c r="AE156" s="30"/>
      <c r="AF156" s="30"/>
      <c r="AG156" s="30"/>
      <c r="AH156" s="31">
        <v>0</v>
      </c>
      <c r="AI156" s="30"/>
      <c r="AJ156" s="188"/>
    </row>
    <row r="157" spans="1:36" ht="13.95" hidden="1" customHeight="1" x14ac:dyDescent="0.3">
      <c r="A157" s="8" t="s">
        <v>25</v>
      </c>
      <c r="B157" s="53">
        <v>45554</v>
      </c>
      <c r="C157" s="12" t="s">
        <v>26</v>
      </c>
      <c r="D157" s="8" t="s">
        <v>27</v>
      </c>
      <c r="E157" s="9" t="s">
        <v>37</v>
      </c>
      <c r="F157" s="9" t="s">
        <v>319</v>
      </c>
      <c r="G157" s="4" t="s">
        <v>320</v>
      </c>
      <c r="H157" s="4">
        <v>20222549788</v>
      </c>
      <c r="I157" s="4" t="s">
        <v>321</v>
      </c>
      <c r="J157" s="8" t="s">
        <v>381</v>
      </c>
      <c r="K157" s="173">
        <v>1</v>
      </c>
      <c r="L157" s="10">
        <v>241970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f>+SUM(Tabla1[[#This Row],[IVA 21%]:[IVA 27%]])</f>
        <v>0</v>
      </c>
      <c r="V157" s="10">
        <f>+SUM(Tabla1[[#This Row],[Neto]:[Impuestos Internos / Otros Tributos]])</f>
        <v>241970</v>
      </c>
      <c r="W157" s="10">
        <f>+Tabla1[[#This Row],[Total]]</f>
        <v>241970</v>
      </c>
      <c r="X157" s="31"/>
      <c r="Y157" s="14" t="s">
        <v>324</v>
      </c>
      <c r="Z157" s="14"/>
      <c r="AA157" s="110">
        <v>45568</v>
      </c>
      <c r="AB157" s="32">
        <f>+Tabla1[[#This Row],[Total a Pagar]]</f>
        <v>241970</v>
      </c>
      <c r="AH157" s="10">
        <v>0</v>
      </c>
      <c r="AJ157" s="188"/>
    </row>
    <row r="158" spans="1:36" ht="13.95" customHeight="1" x14ac:dyDescent="0.3">
      <c r="A158" s="244" t="s">
        <v>25</v>
      </c>
      <c r="B158" s="245">
        <v>45554</v>
      </c>
      <c r="C158" s="246" t="s">
        <v>26</v>
      </c>
      <c r="D158" s="244" t="s">
        <v>58</v>
      </c>
      <c r="E158" s="235" t="s">
        <v>211</v>
      </c>
      <c r="F158" s="235" t="s">
        <v>137</v>
      </c>
      <c r="G158" s="243" t="s">
        <v>146</v>
      </c>
      <c r="H158" s="243">
        <v>33716385359</v>
      </c>
      <c r="I158" s="243" t="s">
        <v>142</v>
      </c>
      <c r="J158" s="8" t="s">
        <v>381</v>
      </c>
      <c r="K158" s="173">
        <v>1</v>
      </c>
      <c r="L158" s="229">
        <v>0</v>
      </c>
      <c r="M158" s="229">
        <v>0</v>
      </c>
      <c r="N158" s="10">
        <v>0</v>
      </c>
      <c r="O158" s="10">
        <v>0</v>
      </c>
      <c r="P158" s="10">
        <v>0</v>
      </c>
      <c r="Q158" s="229">
        <v>1890000</v>
      </c>
      <c r="R158" s="10">
        <v>0</v>
      </c>
      <c r="S158" s="229">
        <v>0</v>
      </c>
      <c r="T158" s="10">
        <v>0</v>
      </c>
      <c r="U158" s="229">
        <f>+SUM(Tabla1[[#This Row],[IVA 21%]:[IVA 27%]])</f>
        <v>0</v>
      </c>
      <c r="V158" s="229">
        <f>+SUM(Tabla1[[#This Row],[Neto]:[Impuestos Internos / Otros Tributos]])</f>
        <v>1890000</v>
      </c>
      <c r="W158" s="229">
        <f>+Tabla1[[#This Row],[Total]]</f>
        <v>1890000</v>
      </c>
      <c r="X158" s="229">
        <v>0</v>
      </c>
      <c r="Y158" s="229" t="s">
        <v>324</v>
      </c>
      <c r="Z158" s="229"/>
      <c r="AA158" s="247">
        <v>45583</v>
      </c>
      <c r="AB158" s="229"/>
      <c r="AJ158" s="4" t="s">
        <v>963</v>
      </c>
    </row>
    <row r="159" spans="1:36" ht="13.95" hidden="1" customHeight="1" x14ac:dyDescent="0.3">
      <c r="A159" s="8" t="s">
        <v>25</v>
      </c>
      <c r="B159" s="53">
        <v>45554</v>
      </c>
      <c r="C159" s="12" t="s">
        <v>26</v>
      </c>
      <c r="D159" s="8" t="s">
        <v>58</v>
      </c>
      <c r="E159" s="9" t="s">
        <v>151</v>
      </c>
      <c r="F159" s="9" t="s">
        <v>359</v>
      </c>
      <c r="G159" s="4" t="s">
        <v>360</v>
      </c>
      <c r="H159" s="4">
        <v>30716939762</v>
      </c>
      <c r="I159" s="4" t="s">
        <v>62</v>
      </c>
      <c r="J159" s="8" t="s">
        <v>381</v>
      </c>
      <c r="K159" s="173">
        <v>1</v>
      </c>
      <c r="L159" s="10">
        <v>90072</v>
      </c>
      <c r="M159" s="10">
        <f>+Tabla1[[#This Row],[Neto]]*21%</f>
        <v>18915.12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f>+SUM(Tabla1[[#This Row],[IVA 21%]:[IVA 27%]])</f>
        <v>18915.12</v>
      </c>
      <c r="V159" s="10">
        <f>+SUM(Tabla1[[#This Row],[Neto]:[Impuestos Internos / Otros Tributos]])</f>
        <v>108987.12</v>
      </c>
      <c r="W159" s="10">
        <f>+Tabla1[[#This Row],[Total]]</f>
        <v>108987.12</v>
      </c>
      <c r="X159" s="10">
        <v>0</v>
      </c>
      <c r="Y159" s="10" t="s">
        <v>324</v>
      </c>
      <c r="Z159" s="10"/>
      <c r="AA159" s="109">
        <v>45588</v>
      </c>
      <c r="AB159" s="32">
        <f>+Tabla1[[#This Row],[Total a Pagar]]</f>
        <v>108987.12</v>
      </c>
      <c r="AH159" s="10">
        <v>0</v>
      </c>
      <c r="AJ159" s="188"/>
    </row>
    <row r="160" spans="1:36" ht="13.95" hidden="1" customHeight="1" x14ac:dyDescent="0.3">
      <c r="A160" s="8" t="s">
        <v>25</v>
      </c>
      <c r="B160" s="53">
        <v>45554</v>
      </c>
      <c r="C160" s="12" t="s">
        <v>26</v>
      </c>
      <c r="D160" s="8" t="s">
        <v>27</v>
      </c>
      <c r="E160" s="9" t="s">
        <v>32</v>
      </c>
      <c r="F160" s="9" t="s">
        <v>290</v>
      </c>
      <c r="G160" s="4" t="s">
        <v>291</v>
      </c>
      <c r="H160" s="4">
        <v>20076367834</v>
      </c>
      <c r="I160" s="4" t="s">
        <v>292</v>
      </c>
      <c r="J160" s="8" t="s">
        <v>381</v>
      </c>
      <c r="K160" s="173">
        <v>1</v>
      </c>
      <c r="L160" s="10">
        <v>19000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f>+SUM(Tabla1[[#This Row],[IVA 21%]:[IVA 27%]])</f>
        <v>0</v>
      </c>
      <c r="V160" s="10">
        <f>+SUM(Tabla1[[#This Row],[Neto]:[Impuestos Internos / Otros Tributos]])</f>
        <v>19000</v>
      </c>
      <c r="W160" s="10">
        <f>+Tabla1[[#This Row],[Total]]</f>
        <v>19000</v>
      </c>
      <c r="X160" s="10">
        <v>0</v>
      </c>
      <c r="Y160" s="10" t="s">
        <v>324</v>
      </c>
      <c r="Z160" s="10"/>
      <c r="AA160" s="110"/>
      <c r="AB160" s="10">
        <v>0</v>
      </c>
      <c r="AH160" s="32">
        <f>+Tabla1[[#This Row],[Total a Pagar]]</f>
        <v>19000</v>
      </c>
      <c r="AJ160" s="188"/>
    </row>
    <row r="161" spans="1:36" ht="13.95" hidden="1" customHeight="1" x14ac:dyDescent="0.3">
      <c r="A161" s="8" t="s">
        <v>25</v>
      </c>
      <c r="B161" s="53">
        <v>45554</v>
      </c>
      <c r="C161" s="12" t="s">
        <v>26</v>
      </c>
      <c r="D161" s="8" t="s">
        <v>58</v>
      </c>
      <c r="E161" s="9" t="s">
        <v>308</v>
      </c>
      <c r="F161" s="9" t="s">
        <v>309</v>
      </c>
      <c r="G161" s="4" t="s">
        <v>306</v>
      </c>
      <c r="H161" s="4">
        <v>33681246989</v>
      </c>
      <c r="I161" s="4" t="s">
        <v>307</v>
      </c>
      <c r="J161" s="8" t="s">
        <v>381</v>
      </c>
      <c r="K161" s="173">
        <v>1</v>
      </c>
      <c r="L161" s="10">
        <v>202714.93</v>
      </c>
      <c r="M161" s="10">
        <v>0</v>
      </c>
      <c r="N161" s="10">
        <f>+Tabla1[[#This Row],[Neto]]*10.5%</f>
        <v>21285.067649999997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f>+SUM(Tabla1[[#This Row],[IVA 21%]:[IVA 27%]])</f>
        <v>21285.067649999997</v>
      </c>
      <c r="V161" s="10">
        <f>+SUM(Tabla1[[#This Row],[Neto]:[Impuestos Internos / Otros Tributos]])</f>
        <v>223999.99764999998</v>
      </c>
      <c r="W161" s="10">
        <f>+Tabla1[[#This Row],[Total]]</f>
        <v>223999.99764999998</v>
      </c>
      <c r="X161" s="10">
        <v>0</v>
      </c>
      <c r="Y161" s="10" t="s">
        <v>324</v>
      </c>
      <c r="Z161" s="10"/>
      <c r="AA161" s="110">
        <v>45554</v>
      </c>
      <c r="AB161" s="10">
        <v>0</v>
      </c>
      <c r="AH161" s="32">
        <f>+Tabla1[[#This Row],[Total a Pagar]]</f>
        <v>223999.99764999998</v>
      </c>
      <c r="AJ161" s="188"/>
    </row>
    <row r="162" spans="1:36" ht="13.95" hidden="1" customHeight="1" x14ac:dyDescent="0.3">
      <c r="A162" s="8" t="s">
        <v>25</v>
      </c>
      <c r="B162" s="53">
        <v>45555</v>
      </c>
      <c r="C162" s="12" t="s">
        <v>26</v>
      </c>
      <c r="D162" s="8" t="s">
        <v>27</v>
      </c>
      <c r="E162" s="9" t="s">
        <v>37</v>
      </c>
      <c r="F162" s="9" t="s">
        <v>41</v>
      </c>
      <c r="G162" s="4" t="s">
        <v>42</v>
      </c>
      <c r="H162" s="4">
        <v>23332501879</v>
      </c>
      <c r="I162" s="4" t="s">
        <v>40</v>
      </c>
      <c r="J162" s="8" t="s">
        <v>381</v>
      </c>
      <c r="K162" s="173">
        <v>1</v>
      </c>
      <c r="L162" s="10">
        <v>376800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f>+SUM(Tabla1[[#This Row],[IVA 21%]:[IVA 27%]])</f>
        <v>0</v>
      </c>
      <c r="V162" s="10">
        <f>+SUM(Tabla1[[#This Row],[Neto]:[Impuestos Internos / Otros Tributos]])</f>
        <v>376800</v>
      </c>
      <c r="W162" s="10">
        <v>376800</v>
      </c>
      <c r="X162" s="10">
        <v>0</v>
      </c>
      <c r="Y162" s="10" t="s">
        <v>324</v>
      </c>
      <c r="Z162" s="10"/>
      <c r="AA162" s="110">
        <v>45558</v>
      </c>
      <c r="AB162" s="32">
        <v>376800</v>
      </c>
      <c r="AC162" s="10"/>
      <c r="AD162" s="10"/>
      <c r="AE162" s="10"/>
      <c r="AF162" s="10"/>
      <c r="AG162" s="10"/>
      <c r="AH162" s="10">
        <v>0</v>
      </c>
      <c r="AI162" s="10"/>
      <c r="AJ162" s="188"/>
    </row>
    <row r="163" spans="1:36" ht="13.95" hidden="1" customHeight="1" x14ac:dyDescent="0.3">
      <c r="A163" s="8" t="s">
        <v>25</v>
      </c>
      <c r="B163" s="53">
        <v>45555</v>
      </c>
      <c r="C163" s="12" t="s">
        <v>26</v>
      </c>
      <c r="D163" s="8" t="s">
        <v>27</v>
      </c>
      <c r="E163" s="9" t="s">
        <v>28</v>
      </c>
      <c r="F163" s="9" t="s">
        <v>43</v>
      </c>
      <c r="G163" s="4" t="s">
        <v>44</v>
      </c>
      <c r="H163" s="4">
        <v>27346203647</v>
      </c>
      <c r="I163" s="4" t="s">
        <v>575</v>
      </c>
      <c r="J163" s="8" t="s">
        <v>381</v>
      </c>
      <c r="K163" s="173">
        <v>1</v>
      </c>
      <c r="L163" s="10">
        <v>404800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f>+SUM(Tabla1[[#This Row],[IVA 21%]:[IVA 27%]])</f>
        <v>0</v>
      </c>
      <c r="V163" s="10">
        <f>+SUM(Tabla1[[#This Row],[Neto]:[Impuestos Internos / Otros Tributos]])</f>
        <v>404800</v>
      </c>
      <c r="W163" s="10">
        <v>404800</v>
      </c>
      <c r="X163" s="10">
        <v>0</v>
      </c>
      <c r="Y163" s="10" t="s">
        <v>324</v>
      </c>
      <c r="Z163" s="10"/>
      <c r="AA163" s="110">
        <v>45558</v>
      </c>
      <c r="AB163" s="32">
        <v>404800</v>
      </c>
      <c r="AC163" s="10"/>
      <c r="AD163" s="10"/>
      <c r="AE163" s="10"/>
      <c r="AF163" s="10"/>
      <c r="AG163" s="10"/>
      <c r="AH163" s="10">
        <v>0</v>
      </c>
      <c r="AI163" s="10"/>
      <c r="AJ163" s="188"/>
    </row>
    <row r="164" spans="1:36" ht="13.95" hidden="1" customHeight="1" x14ac:dyDescent="0.3">
      <c r="A164" s="8" t="s">
        <v>25</v>
      </c>
      <c r="B164" s="53">
        <v>45555</v>
      </c>
      <c r="C164" s="12" t="s">
        <v>26</v>
      </c>
      <c r="D164" s="8" t="s">
        <v>58</v>
      </c>
      <c r="E164" s="9" t="s">
        <v>74</v>
      </c>
      <c r="F164" s="9" t="s">
        <v>199</v>
      </c>
      <c r="G164" s="4" t="s">
        <v>80</v>
      </c>
      <c r="H164" s="4">
        <v>20138455654</v>
      </c>
      <c r="I164" s="4" t="s">
        <v>81</v>
      </c>
      <c r="J164" s="8" t="s">
        <v>381</v>
      </c>
      <c r="K164" s="173">
        <v>1</v>
      </c>
      <c r="L164" s="10">
        <v>5537.19</v>
      </c>
      <c r="M164" s="10">
        <v>1162.81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f>+SUM(Tabla1[[#This Row],[IVA 21%]:[IVA 27%]])</f>
        <v>1162.81</v>
      </c>
      <c r="V164" s="10">
        <f>+SUM(Tabla1[[#This Row],[Neto]:[Impuestos Internos / Otros Tributos]])</f>
        <v>6700</v>
      </c>
      <c r="W164" s="10">
        <f>+Tabla1[[#This Row],[Total]]</f>
        <v>6700</v>
      </c>
      <c r="X164" s="10">
        <v>0</v>
      </c>
      <c r="Y164" s="10" t="s">
        <v>324</v>
      </c>
      <c r="Z164" s="10"/>
      <c r="AA164" s="110"/>
      <c r="AB164" s="10">
        <v>0</v>
      </c>
      <c r="AC164" s="10"/>
      <c r="AD164" s="10"/>
      <c r="AE164" s="10"/>
      <c r="AF164" s="10"/>
      <c r="AG164" s="10"/>
      <c r="AH164" s="32">
        <v>6700</v>
      </c>
      <c r="AI164" s="10"/>
      <c r="AJ164" s="188"/>
    </row>
    <row r="165" spans="1:36" ht="13.95" hidden="1" customHeight="1" x14ac:dyDescent="0.3">
      <c r="A165" s="8" t="s">
        <v>25</v>
      </c>
      <c r="B165" s="53">
        <v>45555</v>
      </c>
      <c r="C165" s="12" t="s">
        <v>26</v>
      </c>
      <c r="D165" s="8" t="s">
        <v>27</v>
      </c>
      <c r="E165" s="9" t="s">
        <v>28</v>
      </c>
      <c r="F165" s="9" t="s">
        <v>30</v>
      </c>
      <c r="G165" s="4" t="s">
        <v>31</v>
      </c>
      <c r="H165" s="4">
        <v>27386533550</v>
      </c>
      <c r="I165" s="38" t="s">
        <v>538</v>
      </c>
      <c r="J165" s="8" t="s">
        <v>381</v>
      </c>
      <c r="K165" s="173">
        <v>1</v>
      </c>
      <c r="L165" s="10">
        <v>528000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f>+SUM(Tabla1[[#This Row],[IVA 21%]:[IVA 27%]])</f>
        <v>0</v>
      </c>
      <c r="V165" s="10">
        <f>+SUM(Tabla1[[#This Row],[Neto]:[Impuestos Internos / Otros Tributos]])</f>
        <v>528000</v>
      </c>
      <c r="W165" s="10">
        <v>528000</v>
      </c>
      <c r="X165" s="10">
        <v>0</v>
      </c>
      <c r="Y165" s="10" t="s">
        <v>324</v>
      </c>
      <c r="Z165" s="10"/>
      <c r="AA165" s="110">
        <v>45558</v>
      </c>
      <c r="AB165" s="76">
        <v>528000</v>
      </c>
      <c r="AC165" s="10"/>
      <c r="AD165" s="10"/>
      <c r="AE165" s="10"/>
      <c r="AF165" s="10"/>
      <c r="AG165" s="10"/>
      <c r="AH165" s="10">
        <v>0</v>
      </c>
      <c r="AI165" s="10"/>
      <c r="AJ165" s="188"/>
    </row>
    <row r="166" spans="1:36" ht="13.95" hidden="1" customHeight="1" x14ac:dyDescent="0.3">
      <c r="A166" s="8" t="s">
        <v>25</v>
      </c>
      <c r="B166" s="53">
        <v>45555</v>
      </c>
      <c r="C166" s="12" t="s">
        <v>26</v>
      </c>
      <c r="D166" s="8" t="s">
        <v>27</v>
      </c>
      <c r="E166" s="9" t="s">
        <v>37</v>
      </c>
      <c r="F166" s="9" t="s">
        <v>50</v>
      </c>
      <c r="G166" s="4" t="s">
        <v>897</v>
      </c>
      <c r="H166" s="4">
        <v>27330903908</v>
      </c>
      <c r="I166" s="4" t="s">
        <v>239</v>
      </c>
      <c r="J166" s="8" t="s">
        <v>381</v>
      </c>
      <c r="K166" s="173">
        <v>1</v>
      </c>
      <c r="L166" s="10">
        <v>369600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f>+SUM(Tabla1[[#This Row],[IVA 21%]:[IVA 27%]])</f>
        <v>0</v>
      </c>
      <c r="V166" s="10">
        <f>+SUM(Tabla1[[#This Row],[Neto]:[Impuestos Internos / Otros Tributos]])</f>
        <v>369600</v>
      </c>
      <c r="W166" s="10">
        <v>369600</v>
      </c>
      <c r="X166" s="10">
        <v>0</v>
      </c>
      <c r="Y166" s="10" t="s">
        <v>324</v>
      </c>
      <c r="Z166" s="10"/>
      <c r="AA166" s="110">
        <v>45558</v>
      </c>
      <c r="AB166" s="32">
        <v>369600</v>
      </c>
      <c r="AC166" s="10"/>
      <c r="AD166" s="10"/>
      <c r="AE166" s="10"/>
      <c r="AF166" s="10"/>
      <c r="AG166" s="10"/>
      <c r="AH166" s="10">
        <v>0</v>
      </c>
      <c r="AI166" s="10"/>
      <c r="AJ166" s="188"/>
    </row>
    <row r="167" spans="1:36" ht="13.95" hidden="1" customHeight="1" x14ac:dyDescent="0.3">
      <c r="A167" s="8" t="s">
        <v>25</v>
      </c>
      <c r="B167" s="53">
        <v>45555</v>
      </c>
      <c r="C167" s="12" t="s">
        <v>26</v>
      </c>
      <c r="D167" s="8" t="s">
        <v>58</v>
      </c>
      <c r="E167" s="9" t="s">
        <v>32</v>
      </c>
      <c r="F167" s="9" t="s">
        <v>193</v>
      </c>
      <c r="G167" s="4" t="s">
        <v>194</v>
      </c>
      <c r="H167" s="4">
        <v>20215810977</v>
      </c>
      <c r="I167" s="4" t="s">
        <v>195</v>
      </c>
      <c r="J167" s="8" t="s">
        <v>381</v>
      </c>
      <c r="K167" s="173">
        <v>1</v>
      </c>
      <c r="L167" s="10">
        <v>80991.73</v>
      </c>
      <c r="M167" s="10">
        <v>17008.263299999999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f>+SUM(Tabla1[[#This Row],[IVA 21%]:[IVA 27%]])</f>
        <v>17008.263299999999</v>
      </c>
      <c r="V167" s="10">
        <f>+SUM(Tabla1[[#This Row],[Neto]:[Impuestos Internos / Otros Tributos]])</f>
        <v>97999.993300000002</v>
      </c>
      <c r="W167" s="10">
        <v>97999.993300000002</v>
      </c>
      <c r="X167" s="10">
        <v>0</v>
      </c>
      <c r="Y167" s="14" t="s">
        <v>324</v>
      </c>
      <c r="Z167" s="14"/>
      <c r="AA167" s="109"/>
      <c r="AB167" s="26">
        <v>0</v>
      </c>
      <c r="AC167" s="10"/>
      <c r="AD167" s="10"/>
      <c r="AE167" s="10"/>
      <c r="AF167" s="10"/>
      <c r="AG167" s="10"/>
      <c r="AH167" s="32">
        <f>+Tabla1[[#This Row],[Total a Pagar]]</f>
        <v>97999.993300000002</v>
      </c>
      <c r="AI167" s="10"/>
      <c r="AJ167" s="188"/>
    </row>
    <row r="168" spans="1:36" ht="13.95" hidden="1" customHeight="1" x14ac:dyDescent="0.3">
      <c r="A168" s="28" t="s">
        <v>25</v>
      </c>
      <c r="B168" s="58">
        <v>45555</v>
      </c>
      <c r="C168" s="12" t="s">
        <v>26</v>
      </c>
      <c r="D168" s="8" t="s">
        <v>27</v>
      </c>
      <c r="E168" s="9" t="s">
        <v>370</v>
      </c>
      <c r="F168" s="9" t="s">
        <v>371</v>
      </c>
      <c r="G168" s="30" t="s">
        <v>372</v>
      </c>
      <c r="H168" s="30">
        <v>27246978196</v>
      </c>
      <c r="I168" s="4" t="s">
        <v>136</v>
      </c>
      <c r="J168" s="8" t="s">
        <v>381</v>
      </c>
      <c r="K168" s="173">
        <v>1</v>
      </c>
      <c r="L168" s="31">
        <v>360000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10">
        <f>+SUM(Tabla1[[#This Row],[IVA 21%]:[IVA 27%]])</f>
        <v>0</v>
      </c>
      <c r="V168" s="10">
        <f>+SUM(Tabla1[[#This Row],[Neto]:[Impuestos Internos / Otros Tributos]])</f>
        <v>360000</v>
      </c>
      <c r="W168" s="10">
        <f>+Tabla1[[#This Row],[Total]]</f>
        <v>360000</v>
      </c>
      <c r="X168" s="31">
        <v>0</v>
      </c>
      <c r="Y168" s="10" t="s">
        <v>324</v>
      </c>
      <c r="Z168" s="10"/>
      <c r="AA168" s="112">
        <v>45555</v>
      </c>
      <c r="AB168" s="32">
        <f>+Tabla1[[#This Row],[Total a Pagar]]</f>
        <v>360000</v>
      </c>
      <c r="AC168" s="30"/>
      <c r="AD168" s="30"/>
      <c r="AE168" s="30"/>
      <c r="AF168" s="30"/>
      <c r="AG168" s="30"/>
      <c r="AH168" s="31">
        <v>0</v>
      </c>
      <c r="AI168" s="30"/>
      <c r="AJ168" s="188"/>
    </row>
    <row r="169" spans="1:36" ht="13.95" hidden="1" customHeight="1" x14ac:dyDescent="0.3">
      <c r="A169" s="8" t="s">
        <v>25</v>
      </c>
      <c r="B169" s="53">
        <v>45555</v>
      </c>
      <c r="C169" s="12" t="s">
        <v>26</v>
      </c>
      <c r="D169" s="8" t="s">
        <v>27</v>
      </c>
      <c r="E169" s="9" t="s">
        <v>37</v>
      </c>
      <c r="F169" s="9" t="s">
        <v>394</v>
      </c>
      <c r="G169" s="4" t="s">
        <v>395</v>
      </c>
      <c r="H169" s="4">
        <v>20286349162</v>
      </c>
      <c r="I169" s="4" t="s">
        <v>396</v>
      </c>
      <c r="J169" s="8" t="s">
        <v>381</v>
      </c>
      <c r="K169" s="173">
        <v>1</v>
      </c>
      <c r="L169" s="10">
        <v>200000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f>+SUM(Tabla1[[#This Row],[IVA 21%]:[IVA 27%]])</f>
        <v>0</v>
      </c>
      <c r="V169" s="10">
        <f>+SUM(Tabla1[[#This Row],[Neto]:[Impuestos Internos / Otros Tributos]])</f>
        <v>200000</v>
      </c>
      <c r="W169" s="10">
        <f>+Tabla1[[#This Row],[Total]]</f>
        <v>200000</v>
      </c>
      <c r="X169" s="10">
        <v>0</v>
      </c>
      <c r="Y169" s="10" t="s">
        <v>324</v>
      </c>
      <c r="Z169" s="10"/>
      <c r="AA169" s="109">
        <v>45558</v>
      </c>
      <c r="AB169" s="32">
        <f>+Tabla1[[#This Row],[Total a Pagar]]</f>
        <v>200000</v>
      </c>
      <c r="AH169" s="10">
        <v>0</v>
      </c>
      <c r="AJ169" s="188"/>
    </row>
    <row r="170" spans="1:36" ht="13.95" hidden="1" customHeight="1" x14ac:dyDescent="0.3">
      <c r="A170" s="8" t="s">
        <v>25</v>
      </c>
      <c r="B170" s="53">
        <v>45555</v>
      </c>
      <c r="C170" s="12" t="s">
        <v>26</v>
      </c>
      <c r="D170" s="8" t="s">
        <v>27</v>
      </c>
      <c r="E170" s="9" t="s">
        <v>37</v>
      </c>
      <c r="F170" s="9" t="s">
        <v>47</v>
      </c>
      <c r="G170" s="4" t="s">
        <v>48</v>
      </c>
      <c r="H170" s="4">
        <v>27235843604</v>
      </c>
      <c r="I170" s="4" t="s">
        <v>49</v>
      </c>
      <c r="J170" s="8" t="s">
        <v>381</v>
      </c>
      <c r="K170" s="173">
        <v>1</v>
      </c>
      <c r="L170" s="10">
        <v>372000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f>+SUM(Tabla1[[#This Row],[IVA 21%]:[IVA 27%]])</f>
        <v>0</v>
      </c>
      <c r="V170" s="10">
        <f>+SUM(Tabla1[[#This Row],[Neto]:[Impuestos Internos / Otros Tributos]])</f>
        <v>372000</v>
      </c>
      <c r="W170" s="10">
        <v>372000</v>
      </c>
      <c r="X170" s="10">
        <v>0</v>
      </c>
      <c r="Y170" s="10" t="s">
        <v>324</v>
      </c>
      <c r="Z170" s="10"/>
      <c r="AA170" s="110">
        <v>45558</v>
      </c>
      <c r="AB170" s="32">
        <v>372000</v>
      </c>
      <c r="AC170" s="10"/>
      <c r="AD170" s="10"/>
      <c r="AE170" s="10"/>
      <c r="AF170" s="10"/>
      <c r="AG170" s="10"/>
      <c r="AH170" s="10">
        <v>0</v>
      </c>
      <c r="AI170" s="10"/>
      <c r="AJ170" s="188"/>
    </row>
    <row r="171" spans="1:36" ht="13.95" hidden="1" customHeight="1" x14ac:dyDescent="0.3">
      <c r="A171" s="8" t="s">
        <v>25</v>
      </c>
      <c r="B171" s="53">
        <v>45555</v>
      </c>
      <c r="C171" s="12" t="s">
        <v>26</v>
      </c>
      <c r="D171" s="8" t="s">
        <v>58</v>
      </c>
      <c r="E171" s="9" t="s">
        <v>200</v>
      </c>
      <c r="F171" s="9" t="s">
        <v>201</v>
      </c>
      <c r="G171" s="4" t="s">
        <v>202</v>
      </c>
      <c r="H171" s="4">
        <v>33715472649</v>
      </c>
      <c r="I171" s="4" t="s">
        <v>203</v>
      </c>
      <c r="J171" s="8" t="s">
        <v>381</v>
      </c>
      <c r="K171" s="173">
        <v>1</v>
      </c>
      <c r="L171" s="10">
        <v>14132.23</v>
      </c>
      <c r="M171" s="10">
        <v>2967.7682999999997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508.76028000000002</v>
      </c>
      <c r="T171" s="10">
        <v>0</v>
      </c>
      <c r="U171" s="10">
        <f>+SUM(Tabla1[[#This Row],[IVA 21%]:[IVA 27%]])</f>
        <v>2967.7682999999997</v>
      </c>
      <c r="V171" s="10">
        <f>+SUM(Tabla1[[#This Row],[Neto]:[Impuestos Internos / Otros Tributos]])</f>
        <v>17608.758579999998</v>
      </c>
      <c r="W171" s="10">
        <f>+Tabla1[[#This Row],[Total]]</f>
        <v>17608.758579999998</v>
      </c>
      <c r="X171" s="10">
        <v>0</v>
      </c>
      <c r="Y171" s="10" t="s">
        <v>324</v>
      </c>
      <c r="Z171" s="10"/>
      <c r="AA171" s="110"/>
      <c r="AB171" s="10">
        <v>0</v>
      </c>
      <c r="AC171" s="10"/>
      <c r="AD171" s="10"/>
      <c r="AE171" s="10"/>
      <c r="AF171" s="10"/>
      <c r="AG171" s="10"/>
      <c r="AH171" s="32">
        <v>17608.758579999998</v>
      </c>
      <c r="AI171" s="10"/>
      <c r="AJ171" s="188"/>
    </row>
    <row r="172" spans="1:36" ht="13.95" hidden="1" customHeight="1" x14ac:dyDescent="0.3">
      <c r="A172" s="8" t="s">
        <v>25</v>
      </c>
      <c r="B172" s="53">
        <v>45555</v>
      </c>
      <c r="C172" s="12" t="s">
        <v>26</v>
      </c>
      <c r="D172" s="8" t="s">
        <v>27</v>
      </c>
      <c r="E172" s="9" t="s">
        <v>28</v>
      </c>
      <c r="F172" s="9" t="s">
        <v>29</v>
      </c>
      <c r="G172" s="4" t="s">
        <v>537</v>
      </c>
      <c r="H172" s="4">
        <v>23386529744</v>
      </c>
      <c r="I172" s="4" t="s">
        <v>538</v>
      </c>
      <c r="J172" s="8" t="s">
        <v>381</v>
      </c>
      <c r="K172" s="173">
        <v>1</v>
      </c>
      <c r="L172" s="10">
        <v>496000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f>+SUM(Tabla1[[#This Row],[IVA 21%]:[IVA 27%]])</f>
        <v>0</v>
      </c>
      <c r="V172" s="10">
        <f>+SUM(Tabla1[[#This Row],[Neto]:[Impuestos Internos / Otros Tributos]])</f>
        <v>496000</v>
      </c>
      <c r="W172" s="10">
        <v>496000</v>
      </c>
      <c r="X172" s="10">
        <v>0</v>
      </c>
      <c r="Y172" s="10" t="s">
        <v>324</v>
      </c>
      <c r="Z172" s="10"/>
      <c r="AA172" s="110">
        <v>45558</v>
      </c>
      <c r="AB172" s="32">
        <v>496000</v>
      </c>
      <c r="AC172" s="10"/>
      <c r="AD172" s="10"/>
      <c r="AE172" s="10"/>
      <c r="AF172" s="10"/>
      <c r="AG172" s="10"/>
      <c r="AH172" s="10">
        <v>0</v>
      </c>
      <c r="AI172" s="10"/>
      <c r="AJ172" s="188"/>
    </row>
    <row r="173" spans="1:36" ht="13.95" hidden="1" customHeight="1" x14ac:dyDescent="0.3">
      <c r="A173" s="36" t="s">
        <v>25</v>
      </c>
      <c r="B173" s="55">
        <v>45555</v>
      </c>
      <c r="C173" s="12" t="s">
        <v>26</v>
      </c>
      <c r="D173" s="8" t="s">
        <v>58</v>
      </c>
      <c r="E173" s="9" t="s">
        <v>439</v>
      </c>
      <c r="F173" s="9" t="s">
        <v>440</v>
      </c>
      <c r="G173" s="38" t="s">
        <v>441</v>
      </c>
      <c r="H173" s="38">
        <v>30518408689</v>
      </c>
      <c r="I173" s="38" t="s">
        <v>442</v>
      </c>
      <c r="J173" s="36" t="s">
        <v>381</v>
      </c>
      <c r="K173" s="173">
        <v>1</v>
      </c>
      <c r="L173" s="39">
        <v>37344.480000000003</v>
      </c>
      <c r="M173" s="39">
        <f>+Tabla1[[#This Row],[Neto]]*21%</f>
        <v>7842.3407999999999</v>
      </c>
      <c r="N173" s="39">
        <v>0</v>
      </c>
      <c r="O173" s="39">
        <v>0</v>
      </c>
      <c r="P173" s="39">
        <v>0</v>
      </c>
      <c r="Q173" s="39">
        <v>0</v>
      </c>
      <c r="R173" s="39">
        <f>+Tabla1[[#This Row],[Neto]]*3%</f>
        <v>1120.3344</v>
      </c>
      <c r="S173" s="39">
        <v>1445.66</v>
      </c>
      <c r="T173" s="39">
        <f>2813.18+160.58</f>
        <v>2973.7599999999998</v>
      </c>
      <c r="U173" s="39">
        <f>+SUM(Tabla1[[#This Row],[IVA 21%]:[IVA 27%]])</f>
        <v>7842.3407999999999</v>
      </c>
      <c r="V173" s="10">
        <f>+SUM(Tabla1[[#This Row],[Neto]:[Impuestos Internos / Otros Tributos]])</f>
        <v>50726.575200000007</v>
      </c>
      <c r="W173" s="39">
        <f>+Tabla1[[#This Row],[Total]]</f>
        <v>50726.575200000007</v>
      </c>
      <c r="X173" s="39">
        <v>0</v>
      </c>
      <c r="Y173" s="10" t="s">
        <v>324</v>
      </c>
      <c r="Z173" s="10"/>
      <c r="AA173" s="107"/>
      <c r="AB173" s="39"/>
      <c r="AC173" s="38"/>
      <c r="AD173" s="38"/>
      <c r="AE173" s="38"/>
      <c r="AF173" s="38"/>
      <c r="AG173" s="38"/>
      <c r="AH173" s="39"/>
      <c r="AI173" s="38"/>
      <c r="AJ173" s="188"/>
    </row>
    <row r="174" spans="1:36" ht="13.95" hidden="1" customHeight="1" x14ac:dyDescent="0.3">
      <c r="A174" s="8" t="s">
        <v>25</v>
      </c>
      <c r="B174" s="53">
        <v>45555</v>
      </c>
      <c r="C174" s="12" t="s">
        <v>26</v>
      </c>
      <c r="D174" s="8" t="s">
        <v>27</v>
      </c>
      <c r="E174" s="9" t="s">
        <v>37</v>
      </c>
      <c r="F174" s="9" t="s">
        <v>52</v>
      </c>
      <c r="G174" s="4" t="s">
        <v>53</v>
      </c>
      <c r="H174" s="4">
        <v>23286334334</v>
      </c>
      <c r="I174" s="4" t="s">
        <v>54</v>
      </c>
      <c r="J174" s="8" t="s">
        <v>381</v>
      </c>
      <c r="K174" s="173">
        <v>1</v>
      </c>
      <c r="L174" s="10">
        <v>359200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f>+SUM(Tabla1[[#This Row],[IVA 21%]:[IVA 27%]])</f>
        <v>0</v>
      </c>
      <c r="V174" s="10">
        <f>+SUM(Tabla1[[#This Row],[Neto]:[Impuestos Internos / Otros Tributos]])</f>
        <v>359200</v>
      </c>
      <c r="W174" s="10">
        <v>359200</v>
      </c>
      <c r="X174" s="10">
        <v>0</v>
      </c>
      <c r="Y174" s="10" t="s">
        <v>324</v>
      </c>
      <c r="Z174" s="10"/>
      <c r="AA174" s="110">
        <v>45558</v>
      </c>
      <c r="AB174" s="32">
        <v>359200</v>
      </c>
      <c r="AC174" s="10"/>
      <c r="AD174" s="10"/>
      <c r="AE174" s="10"/>
      <c r="AF174" s="10"/>
      <c r="AG174" s="10"/>
      <c r="AH174" s="10">
        <v>0</v>
      </c>
      <c r="AI174" s="10"/>
      <c r="AJ174" s="188"/>
    </row>
    <row r="175" spans="1:36" ht="13.95" hidden="1" customHeight="1" x14ac:dyDescent="0.3">
      <c r="A175" s="8" t="s">
        <v>25</v>
      </c>
      <c r="B175" s="53">
        <v>45555</v>
      </c>
      <c r="C175" s="12" t="s">
        <v>26</v>
      </c>
      <c r="D175" s="8" t="s">
        <v>58</v>
      </c>
      <c r="E175" s="9" t="s">
        <v>37</v>
      </c>
      <c r="F175" s="9" t="s">
        <v>130</v>
      </c>
      <c r="G175" s="4" t="s">
        <v>131</v>
      </c>
      <c r="H175" s="4">
        <v>30712291237</v>
      </c>
      <c r="I175" s="4" t="s">
        <v>132</v>
      </c>
      <c r="J175" s="8" t="s">
        <v>381</v>
      </c>
      <c r="K175" s="173">
        <v>1</v>
      </c>
      <c r="L175" s="10">
        <v>280860</v>
      </c>
      <c r="M175" s="10">
        <v>58980.6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f>+SUM(Tabla1[[#This Row],[IVA 21%]:[IVA 27%]])</f>
        <v>58980.6</v>
      </c>
      <c r="V175" s="10">
        <f>+SUM(Tabla1[[#This Row],[Neto]:[Impuestos Internos / Otros Tributos]])</f>
        <v>339840.6</v>
      </c>
      <c r="W175" s="10">
        <f>+Tabla1[[#This Row],[Total]]</f>
        <v>339840.6</v>
      </c>
      <c r="X175" s="10">
        <f>+Tabla1[[#This Row],[Neto]]*2%</f>
        <v>5617.2</v>
      </c>
      <c r="Y175" s="14" t="s">
        <v>324</v>
      </c>
      <c r="Z175" s="14"/>
      <c r="AA175" s="109">
        <v>45583</v>
      </c>
      <c r="AB175" s="32">
        <f>+Tabla1[[#This Row],[Total a Pagar]]-Tabla1[[#This Row],[SICORE]]</f>
        <v>334223.39999999997</v>
      </c>
      <c r="AC175" s="10"/>
      <c r="AD175" s="10"/>
      <c r="AE175" s="10"/>
      <c r="AF175" s="10"/>
      <c r="AG175" s="10"/>
      <c r="AH175" s="10">
        <v>0</v>
      </c>
      <c r="AI175" s="10"/>
      <c r="AJ175" s="188"/>
    </row>
    <row r="176" spans="1:36" ht="13.95" hidden="1" customHeight="1" x14ac:dyDescent="0.3">
      <c r="A176" s="8" t="s">
        <v>25</v>
      </c>
      <c r="B176" s="53">
        <v>45555</v>
      </c>
      <c r="C176" s="12" t="s">
        <v>26</v>
      </c>
      <c r="D176" s="8" t="s">
        <v>27</v>
      </c>
      <c r="E176" s="9" t="s">
        <v>37</v>
      </c>
      <c r="F176" s="9" t="s">
        <v>38</v>
      </c>
      <c r="G176" s="4" t="s">
        <v>39</v>
      </c>
      <c r="H176" s="4">
        <v>27335929271</v>
      </c>
      <c r="I176" s="4" t="s">
        <v>40</v>
      </c>
      <c r="J176" s="8" t="s">
        <v>381</v>
      </c>
      <c r="K176" s="173">
        <v>1</v>
      </c>
      <c r="L176" s="10">
        <v>379200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f>+SUM(Tabla1[[#This Row],[IVA 21%]:[IVA 27%]])</f>
        <v>0</v>
      </c>
      <c r="V176" s="10">
        <f>+SUM(Tabla1[[#This Row],[Neto]:[Impuestos Internos / Otros Tributos]])</f>
        <v>379200</v>
      </c>
      <c r="W176" s="10">
        <v>379200</v>
      </c>
      <c r="X176" s="10">
        <v>0</v>
      </c>
      <c r="Y176" s="10" t="s">
        <v>324</v>
      </c>
      <c r="Z176" s="10"/>
      <c r="AA176" s="110">
        <v>45558</v>
      </c>
      <c r="AB176" s="32">
        <v>379200</v>
      </c>
      <c r="AC176" s="10"/>
      <c r="AD176" s="10"/>
      <c r="AE176" s="10"/>
      <c r="AF176" s="10"/>
      <c r="AG176" s="10"/>
      <c r="AH176" s="10">
        <v>0</v>
      </c>
      <c r="AI176" s="10"/>
      <c r="AJ176" s="188"/>
    </row>
    <row r="177" spans="1:36" ht="13.95" hidden="1" customHeight="1" x14ac:dyDescent="0.3">
      <c r="A177" s="8" t="s">
        <v>25</v>
      </c>
      <c r="B177" s="53">
        <v>45555</v>
      </c>
      <c r="C177" s="12" t="s">
        <v>26</v>
      </c>
      <c r="D177" s="8" t="s">
        <v>27</v>
      </c>
      <c r="E177" s="9" t="s">
        <v>32</v>
      </c>
      <c r="F177" s="9" t="s">
        <v>45</v>
      </c>
      <c r="G177" s="4" t="s">
        <v>46</v>
      </c>
      <c r="H177" s="4">
        <v>27386520599</v>
      </c>
      <c r="I177" s="4" t="s">
        <v>40</v>
      </c>
      <c r="J177" s="8" t="s">
        <v>381</v>
      </c>
      <c r="K177" s="173">
        <v>1</v>
      </c>
      <c r="L177" s="10">
        <v>379200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f>+SUM(Tabla1[[#This Row],[IVA 21%]:[IVA 27%]])</f>
        <v>0</v>
      </c>
      <c r="V177" s="10">
        <f>+SUM(Tabla1[[#This Row],[Neto]:[Impuestos Internos / Otros Tributos]])</f>
        <v>379200</v>
      </c>
      <c r="W177" s="10">
        <v>379200</v>
      </c>
      <c r="X177" s="10">
        <v>0</v>
      </c>
      <c r="Y177" s="10" t="s">
        <v>324</v>
      </c>
      <c r="Z177" s="10"/>
      <c r="AA177" s="110">
        <v>45558</v>
      </c>
      <c r="AB177" s="32">
        <v>379200</v>
      </c>
      <c r="AC177" s="10"/>
      <c r="AD177" s="10"/>
      <c r="AE177" s="10"/>
      <c r="AF177" s="10"/>
      <c r="AG177" s="10"/>
      <c r="AH177" s="10">
        <v>0</v>
      </c>
      <c r="AI177" s="10"/>
      <c r="AJ177" s="188"/>
    </row>
    <row r="178" spans="1:36" ht="13.95" hidden="1" customHeight="1" x14ac:dyDescent="0.3">
      <c r="A178" s="8" t="s">
        <v>25</v>
      </c>
      <c r="B178" s="53">
        <v>45555</v>
      </c>
      <c r="C178" s="12" t="s">
        <v>26</v>
      </c>
      <c r="D178" s="8" t="s">
        <v>27</v>
      </c>
      <c r="E178" s="9" t="s">
        <v>32</v>
      </c>
      <c r="F178" s="9" t="s">
        <v>33</v>
      </c>
      <c r="G178" s="4" t="s">
        <v>34</v>
      </c>
      <c r="H178" s="4">
        <v>27260306680</v>
      </c>
      <c r="I178" s="4" t="s">
        <v>597</v>
      </c>
      <c r="J178" s="8" t="s">
        <v>381</v>
      </c>
      <c r="K178" s="173">
        <v>1</v>
      </c>
      <c r="L178" s="10">
        <v>384000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f>+SUM(Tabla1[[#This Row],[IVA 21%]:[IVA 27%]])</f>
        <v>0</v>
      </c>
      <c r="V178" s="10">
        <f>+SUM(Tabla1[[#This Row],[Neto]:[Impuestos Internos / Otros Tributos]])</f>
        <v>384000</v>
      </c>
      <c r="W178" s="10">
        <v>384000</v>
      </c>
      <c r="X178" s="10">
        <v>0</v>
      </c>
      <c r="Y178" s="10" t="s">
        <v>324</v>
      </c>
      <c r="Z178" s="10"/>
      <c r="AA178" s="110">
        <v>45558</v>
      </c>
      <c r="AB178" s="76">
        <v>384000</v>
      </c>
      <c r="AC178" s="10"/>
      <c r="AD178" s="10"/>
      <c r="AE178" s="10"/>
      <c r="AF178" s="10"/>
      <c r="AG178" s="10"/>
      <c r="AH178" s="10">
        <v>0</v>
      </c>
      <c r="AI178" s="10"/>
      <c r="AJ178" s="188"/>
    </row>
    <row r="179" spans="1:36" ht="13.95" hidden="1" customHeight="1" x14ac:dyDescent="0.3">
      <c r="A179" s="8" t="s">
        <v>25</v>
      </c>
      <c r="B179" s="53">
        <v>45555</v>
      </c>
      <c r="C179" s="12" t="s">
        <v>26</v>
      </c>
      <c r="D179" s="8" t="s">
        <v>27</v>
      </c>
      <c r="E179" s="9" t="s">
        <v>32</v>
      </c>
      <c r="F179" s="9" t="s">
        <v>35</v>
      </c>
      <c r="G179" s="4" t="s">
        <v>34</v>
      </c>
      <c r="H179" s="4">
        <v>27260306680</v>
      </c>
      <c r="I179" s="4" t="s">
        <v>36</v>
      </c>
      <c r="J179" s="8" t="s">
        <v>381</v>
      </c>
      <c r="K179" s="173">
        <v>1</v>
      </c>
      <c r="L179" s="10">
        <v>432000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f>+SUM(Tabla1[[#This Row],[IVA 21%]:[IVA 27%]])</f>
        <v>0</v>
      </c>
      <c r="V179" s="10">
        <f>+SUM(Tabla1[[#This Row],[Neto]:[Impuestos Internos / Otros Tributos]])</f>
        <v>432000</v>
      </c>
      <c r="W179" s="10">
        <v>432000</v>
      </c>
      <c r="X179" s="10">
        <v>0</v>
      </c>
      <c r="Y179" s="10" t="s">
        <v>324</v>
      </c>
      <c r="Z179" s="10"/>
      <c r="AA179" s="110">
        <v>45558</v>
      </c>
      <c r="AB179" s="32">
        <v>432000</v>
      </c>
      <c r="AC179" s="10"/>
      <c r="AD179" s="10"/>
      <c r="AE179" s="10"/>
      <c r="AF179" s="10"/>
      <c r="AG179" s="10"/>
      <c r="AH179" s="10">
        <v>0</v>
      </c>
      <c r="AI179" s="10"/>
      <c r="AJ179" s="188"/>
    </row>
    <row r="180" spans="1:36" ht="13.95" hidden="1" customHeight="1" x14ac:dyDescent="0.3">
      <c r="A180" s="8" t="s">
        <v>25</v>
      </c>
      <c r="B180" s="53">
        <v>45556</v>
      </c>
      <c r="C180" s="12" t="s">
        <v>26</v>
      </c>
      <c r="D180" s="8" t="s">
        <v>27</v>
      </c>
      <c r="E180" s="9" t="s">
        <v>28</v>
      </c>
      <c r="F180" s="9" t="s">
        <v>55</v>
      </c>
      <c r="G180" s="4" t="s">
        <v>56</v>
      </c>
      <c r="H180" s="4">
        <v>20288248398</v>
      </c>
      <c r="I180" s="4" t="s">
        <v>57</v>
      </c>
      <c r="J180" s="8" t="s">
        <v>381</v>
      </c>
      <c r="K180" s="173">
        <v>1</v>
      </c>
      <c r="L180" s="10">
        <v>35200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f>+SUM(Tabla1[[#This Row],[IVA 21%]:[IVA 27%]])</f>
        <v>0</v>
      </c>
      <c r="V180" s="10">
        <f>+SUM(Tabla1[[#This Row],[Neto]:[Impuestos Internos / Otros Tributos]])</f>
        <v>35200</v>
      </c>
      <c r="W180" s="10">
        <f>+Tabla1[[#This Row],[Total]]</f>
        <v>35200</v>
      </c>
      <c r="X180" s="10">
        <v>0</v>
      </c>
      <c r="Y180" s="10" t="s">
        <v>324</v>
      </c>
      <c r="Z180" s="10"/>
      <c r="AA180" s="110">
        <v>45558</v>
      </c>
      <c r="AB180" s="32">
        <v>35200</v>
      </c>
      <c r="AC180" s="10"/>
      <c r="AD180" s="10"/>
      <c r="AE180" s="10"/>
      <c r="AF180" s="10"/>
      <c r="AG180" s="10"/>
      <c r="AH180" s="10">
        <v>0</v>
      </c>
      <c r="AI180" s="10"/>
      <c r="AJ180" s="188"/>
    </row>
    <row r="181" spans="1:36" ht="13.95" customHeight="1" x14ac:dyDescent="0.3">
      <c r="A181" s="244" t="s">
        <v>25</v>
      </c>
      <c r="B181" s="245">
        <v>45556</v>
      </c>
      <c r="C181" s="246" t="s">
        <v>26</v>
      </c>
      <c r="D181" s="244" t="s">
        <v>58</v>
      </c>
      <c r="E181" s="235" t="s">
        <v>32</v>
      </c>
      <c r="F181" s="235" t="s">
        <v>147</v>
      </c>
      <c r="G181" s="243" t="s">
        <v>146</v>
      </c>
      <c r="H181" s="243">
        <v>33716385359</v>
      </c>
      <c r="I181" s="243" t="s">
        <v>142</v>
      </c>
      <c r="J181" s="8" t="s">
        <v>381</v>
      </c>
      <c r="K181" s="173">
        <v>1</v>
      </c>
      <c r="L181" s="229">
        <v>260300</v>
      </c>
      <c r="M181" s="229">
        <v>54663</v>
      </c>
      <c r="N181" s="10">
        <v>0</v>
      </c>
      <c r="O181" s="10">
        <v>0</v>
      </c>
      <c r="P181" s="10">
        <v>0</v>
      </c>
      <c r="Q181" s="229">
        <v>865500</v>
      </c>
      <c r="R181" s="10">
        <v>0</v>
      </c>
      <c r="S181" s="229">
        <v>40528.800000000003</v>
      </c>
      <c r="T181" s="10">
        <v>0</v>
      </c>
      <c r="U181" s="229">
        <f>+SUM(Tabla1[[#This Row],[IVA 21%]:[IVA 27%]])</f>
        <v>54663</v>
      </c>
      <c r="V181" s="229">
        <f>+SUM(Tabla1[[#This Row],[Neto]:[Impuestos Internos / Otros Tributos]])</f>
        <v>1220991.8</v>
      </c>
      <c r="W181" s="229">
        <v>1220991.8</v>
      </c>
      <c r="X181" s="229">
        <v>0</v>
      </c>
      <c r="Y181" s="229" t="s">
        <v>324</v>
      </c>
      <c r="Z181" s="229"/>
      <c r="AA181" s="247">
        <v>45583</v>
      </c>
      <c r="AB181" s="229"/>
      <c r="AC181" s="10"/>
      <c r="AD181" s="10"/>
      <c r="AE181" s="10"/>
      <c r="AF181" s="10"/>
      <c r="AG181" s="10"/>
      <c r="AI181" s="10"/>
      <c r="AJ181" s="4" t="s">
        <v>963</v>
      </c>
    </row>
    <row r="182" spans="1:36" ht="13.95" hidden="1" customHeight="1" x14ac:dyDescent="0.3">
      <c r="A182" s="8" t="s">
        <v>25</v>
      </c>
      <c r="B182" s="53">
        <v>45558</v>
      </c>
      <c r="C182" s="12" t="s">
        <v>26</v>
      </c>
      <c r="D182" s="8" t="s">
        <v>27</v>
      </c>
      <c r="E182" s="9" t="s">
        <v>28</v>
      </c>
      <c r="F182" s="9" t="s">
        <v>47</v>
      </c>
      <c r="G182" s="4" t="s">
        <v>249</v>
      </c>
      <c r="H182" s="4">
        <v>27414097087</v>
      </c>
      <c r="I182" s="4" t="s">
        <v>239</v>
      </c>
      <c r="J182" s="8" t="s">
        <v>381</v>
      </c>
      <c r="K182" s="173">
        <v>1</v>
      </c>
      <c r="L182" s="10">
        <v>165600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f>+SUM(Tabla1[[#This Row],[IVA 21%]:[IVA 27%]])</f>
        <v>0</v>
      </c>
      <c r="V182" s="10">
        <f>+SUM(Tabla1[[#This Row],[Neto]:[Impuestos Internos / Otros Tributos]])</f>
        <v>165600</v>
      </c>
      <c r="W182" s="10">
        <f>+V182</f>
        <v>165600</v>
      </c>
      <c r="X182" s="10">
        <v>0</v>
      </c>
      <c r="Y182" s="10" t="s">
        <v>324</v>
      </c>
      <c r="Z182" s="10"/>
      <c r="AA182" s="110">
        <v>45561</v>
      </c>
      <c r="AB182" s="32">
        <f>+Tabla1[[#This Row],[Total a Pagar]]</f>
        <v>165600</v>
      </c>
      <c r="AH182" s="10">
        <v>0</v>
      </c>
      <c r="AJ182" s="188"/>
    </row>
    <row r="183" spans="1:36" ht="13.95" hidden="1" customHeight="1" x14ac:dyDescent="0.3">
      <c r="A183" s="8" t="s">
        <v>25</v>
      </c>
      <c r="B183" s="53">
        <v>45558</v>
      </c>
      <c r="C183" s="12" t="s">
        <v>26</v>
      </c>
      <c r="D183" s="8" t="s">
        <v>27</v>
      </c>
      <c r="E183" s="9" t="s">
        <v>37</v>
      </c>
      <c r="F183" s="9" t="s">
        <v>247</v>
      </c>
      <c r="G183" s="4" t="s">
        <v>248</v>
      </c>
      <c r="H183" s="4">
        <v>27382124184</v>
      </c>
      <c r="I183" s="4" t="s">
        <v>40</v>
      </c>
      <c r="J183" s="8" t="s">
        <v>381</v>
      </c>
      <c r="K183" s="173">
        <v>1</v>
      </c>
      <c r="L183" s="10">
        <v>16800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f>+SUM(Tabla1[[#This Row],[IVA 21%]:[IVA 27%]])</f>
        <v>0</v>
      </c>
      <c r="V183" s="10">
        <f>+SUM(Tabla1[[#This Row],[Neto]:[Impuestos Internos / Otros Tributos]])</f>
        <v>16800</v>
      </c>
      <c r="W183" s="10">
        <f>+V183</f>
        <v>16800</v>
      </c>
      <c r="X183" s="10">
        <v>0</v>
      </c>
      <c r="Y183" s="10" t="s">
        <v>324</v>
      </c>
      <c r="Z183" s="10"/>
      <c r="AA183" s="110">
        <v>45561</v>
      </c>
      <c r="AB183" s="32">
        <f>+Tabla1[[#This Row],[Total a Pagar]]</f>
        <v>16800</v>
      </c>
      <c r="AH183" s="10">
        <v>0</v>
      </c>
      <c r="AJ183" s="188"/>
    </row>
    <row r="184" spans="1:36" ht="13.95" hidden="1" customHeight="1" x14ac:dyDescent="0.3">
      <c r="A184" s="8" t="s">
        <v>25</v>
      </c>
      <c r="B184" s="53">
        <v>45558</v>
      </c>
      <c r="C184" s="12" t="s">
        <v>26</v>
      </c>
      <c r="D184" s="8" t="s">
        <v>27</v>
      </c>
      <c r="E184" s="9" t="s">
        <v>28</v>
      </c>
      <c r="F184" s="9" t="s">
        <v>41</v>
      </c>
      <c r="G184" s="4" t="s">
        <v>222</v>
      </c>
      <c r="H184" s="4">
        <v>23339846324</v>
      </c>
      <c r="I184" s="4" t="s">
        <v>40</v>
      </c>
      <c r="J184" s="8" t="s">
        <v>381</v>
      </c>
      <c r="K184" s="173">
        <v>1</v>
      </c>
      <c r="L184" s="10">
        <v>216000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f>+SUM(Tabla1[[#This Row],[IVA 21%]:[IVA 27%]])</f>
        <v>0</v>
      </c>
      <c r="V184" s="10">
        <f>+SUM(Tabla1[[#This Row],[Neto]:[Impuestos Internos / Otros Tributos]])</f>
        <v>216000</v>
      </c>
      <c r="W184" s="10">
        <f>+V184</f>
        <v>216000</v>
      </c>
      <c r="X184" s="10">
        <v>0</v>
      </c>
      <c r="Y184" s="10" t="s">
        <v>324</v>
      </c>
      <c r="Z184" s="10"/>
      <c r="AA184" s="110">
        <v>45562</v>
      </c>
      <c r="AB184" s="32">
        <f>+Tabla1[[#This Row],[Total a Pagar]]</f>
        <v>216000</v>
      </c>
      <c r="AH184" s="10">
        <v>0</v>
      </c>
      <c r="AJ184" s="188"/>
    </row>
    <row r="185" spans="1:36" ht="13.95" hidden="1" customHeight="1" x14ac:dyDescent="0.3">
      <c r="A185" s="8" t="s">
        <v>25</v>
      </c>
      <c r="B185" s="53">
        <v>45558</v>
      </c>
      <c r="C185" s="12" t="s">
        <v>410</v>
      </c>
      <c r="D185" s="8" t="s">
        <v>58</v>
      </c>
      <c r="E185" s="9" t="s">
        <v>37</v>
      </c>
      <c r="F185" s="9" t="s">
        <v>411</v>
      </c>
      <c r="G185" s="4" t="s">
        <v>412</v>
      </c>
      <c r="H185" s="4">
        <v>30629233144</v>
      </c>
      <c r="I185" s="4" t="s">
        <v>413</v>
      </c>
      <c r="J185" s="8" t="s">
        <v>381</v>
      </c>
      <c r="K185" s="173">
        <v>1</v>
      </c>
      <c r="L185" s="10">
        <v>995000</v>
      </c>
      <c r="M185" s="10">
        <v>0</v>
      </c>
      <c r="N185" s="10">
        <f>+Tabla1[[#This Row],[Neto]]*10.5%</f>
        <v>104475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f>+SUM(Tabla1[[#This Row],[IVA 21%]:[IVA 27%]])</f>
        <v>104475</v>
      </c>
      <c r="V185" s="10">
        <f>+SUM(Tabla1[[#This Row],[Neto]:[Impuestos Internos / Otros Tributos]])</f>
        <v>1099475</v>
      </c>
      <c r="W185" s="10">
        <f>+Tabla1[[#This Row],[Total]]</f>
        <v>1099475</v>
      </c>
      <c r="X185" s="10">
        <f>+Tabla1[[#This Row],[Neto]]*2%</f>
        <v>19900</v>
      </c>
      <c r="Y185" s="14" t="s">
        <v>324</v>
      </c>
      <c r="Z185" s="14"/>
      <c r="AA185" s="109">
        <v>45589</v>
      </c>
      <c r="AB185" s="32">
        <f>+Tabla1[[#This Row],[Total a Pagar]]-Tabla1[[#This Row],[SICORE]]</f>
        <v>1079575</v>
      </c>
      <c r="AH185" s="10">
        <v>0</v>
      </c>
      <c r="AJ185" s="188"/>
    </row>
    <row r="186" spans="1:36" ht="13.95" hidden="1" customHeight="1" x14ac:dyDescent="0.3">
      <c r="A186" s="8" t="s">
        <v>25</v>
      </c>
      <c r="B186" s="53">
        <v>45558</v>
      </c>
      <c r="C186" s="12" t="s">
        <v>402</v>
      </c>
      <c r="D186" s="8" t="s">
        <v>27</v>
      </c>
      <c r="E186" s="9" t="s">
        <v>28</v>
      </c>
      <c r="F186" s="9" t="s">
        <v>225</v>
      </c>
      <c r="G186" s="4" t="s">
        <v>226</v>
      </c>
      <c r="H186" s="4">
        <v>27410953345</v>
      </c>
      <c r="I186" s="4" t="s">
        <v>238</v>
      </c>
      <c r="J186" s="8" t="s">
        <v>381</v>
      </c>
      <c r="K186" s="173">
        <v>1</v>
      </c>
      <c r="L186" s="10">
        <v>119200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f>+SUM(Tabla1[[#This Row],[IVA 21%]:[IVA 27%]])</f>
        <v>0</v>
      </c>
      <c r="V186" s="10">
        <f>+SUM(Tabla1[[#This Row],[Neto]:[Impuestos Internos / Otros Tributos]])</f>
        <v>119200</v>
      </c>
      <c r="W186" s="10">
        <f>+V186</f>
        <v>119200</v>
      </c>
      <c r="X186" s="10">
        <v>0</v>
      </c>
      <c r="Y186" s="10" t="s">
        <v>324</v>
      </c>
      <c r="Z186" s="10"/>
      <c r="AA186" s="110">
        <v>45562</v>
      </c>
      <c r="AB186" s="32">
        <f>+Tabla1[[#This Row],[Total a Pagar]]</f>
        <v>119200</v>
      </c>
      <c r="AH186" s="10">
        <v>0</v>
      </c>
      <c r="AJ186" s="188"/>
    </row>
    <row r="187" spans="1:36" ht="13.95" hidden="1" customHeight="1" x14ac:dyDescent="0.3">
      <c r="A187" s="8" t="s">
        <v>25</v>
      </c>
      <c r="B187" s="53">
        <v>45558</v>
      </c>
      <c r="C187" s="12" t="s">
        <v>402</v>
      </c>
      <c r="D187" s="8" t="s">
        <v>27</v>
      </c>
      <c r="E187" s="9" t="s">
        <v>28</v>
      </c>
      <c r="F187" s="9" t="s">
        <v>227</v>
      </c>
      <c r="G187" s="4" t="s">
        <v>226</v>
      </c>
      <c r="H187" s="4">
        <v>27410953345</v>
      </c>
      <c r="I187" s="4" t="s">
        <v>239</v>
      </c>
      <c r="J187" s="8" t="s">
        <v>381</v>
      </c>
      <c r="K187" s="173">
        <v>1</v>
      </c>
      <c r="L187" s="10">
        <v>128000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f>+SUM(Tabla1[[#This Row],[IVA 21%]:[IVA 27%]])</f>
        <v>0</v>
      </c>
      <c r="V187" s="10">
        <f>+SUM(Tabla1[[#This Row],[Neto]:[Impuestos Internos / Otros Tributos]])</f>
        <v>128000</v>
      </c>
      <c r="W187" s="10">
        <f>+V187</f>
        <v>128000</v>
      </c>
      <c r="X187" s="10">
        <v>0</v>
      </c>
      <c r="Y187" s="10" t="s">
        <v>324</v>
      </c>
      <c r="Z187" s="10"/>
      <c r="AA187" s="110">
        <v>45560</v>
      </c>
      <c r="AB187" s="32">
        <f>+Tabla1[[#This Row],[Total a Pagar]]</f>
        <v>128000</v>
      </c>
      <c r="AH187" s="10">
        <v>0</v>
      </c>
      <c r="AJ187" s="188"/>
    </row>
    <row r="188" spans="1:36" ht="13.95" hidden="1" customHeight="1" x14ac:dyDescent="0.3">
      <c r="A188" s="8" t="s">
        <v>25</v>
      </c>
      <c r="B188" s="53">
        <v>45558</v>
      </c>
      <c r="C188" s="12" t="s">
        <v>402</v>
      </c>
      <c r="D188" s="8" t="s">
        <v>27</v>
      </c>
      <c r="E188" s="9" t="s">
        <v>28</v>
      </c>
      <c r="F188" s="9" t="s">
        <v>228</v>
      </c>
      <c r="G188" s="4" t="s">
        <v>226</v>
      </c>
      <c r="H188" s="4">
        <v>27410953345</v>
      </c>
      <c r="I188" s="4" t="s">
        <v>239</v>
      </c>
      <c r="J188" s="8" t="s">
        <v>381</v>
      </c>
      <c r="K188" s="173">
        <v>1</v>
      </c>
      <c r="L188" s="10">
        <v>128000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f>+SUM(Tabla1[[#This Row],[IVA 21%]:[IVA 27%]])</f>
        <v>0</v>
      </c>
      <c r="V188" s="10">
        <f>+SUM(Tabla1[[#This Row],[Neto]:[Impuestos Internos / Otros Tributos]])</f>
        <v>128000</v>
      </c>
      <c r="W188" s="10">
        <f>+V188</f>
        <v>128000</v>
      </c>
      <c r="X188" s="10">
        <v>0</v>
      </c>
      <c r="Y188" s="10" t="s">
        <v>324</v>
      </c>
      <c r="Z188" s="10"/>
      <c r="AA188" s="110">
        <v>45562</v>
      </c>
      <c r="AB188" s="32">
        <f>+Tabla1[[#This Row],[Total a Pagar]]</f>
        <v>128000</v>
      </c>
      <c r="AH188" s="10">
        <v>0</v>
      </c>
      <c r="AJ188" s="188"/>
    </row>
    <row r="189" spans="1:36" ht="13.95" hidden="1" customHeight="1" x14ac:dyDescent="0.3">
      <c r="A189" s="8" t="s">
        <v>25</v>
      </c>
      <c r="B189" s="53">
        <v>45558</v>
      </c>
      <c r="C189" s="12" t="s">
        <v>26</v>
      </c>
      <c r="D189" s="8" t="s">
        <v>27</v>
      </c>
      <c r="E189" s="9" t="s">
        <v>28</v>
      </c>
      <c r="F189" s="9" t="s">
        <v>255</v>
      </c>
      <c r="G189" s="4" t="s">
        <v>224</v>
      </c>
      <c r="H189" s="4">
        <v>27376021829</v>
      </c>
      <c r="I189" s="4" t="s">
        <v>256</v>
      </c>
      <c r="J189" s="8" t="s">
        <v>381</v>
      </c>
      <c r="K189" s="173">
        <v>1</v>
      </c>
      <c r="L189" s="10">
        <v>348000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f>+SUM(Tabla1[[#This Row],[IVA 21%]:[IVA 27%]])</f>
        <v>0</v>
      </c>
      <c r="V189" s="10">
        <f>+SUM(Tabla1[[#This Row],[Neto]:[Impuestos Internos / Otros Tributos]])</f>
        <v>348000</v>
      </c>
      <c r="W189" s="10">
        <f>+V189</f>
        <v>348000</v>
      </c>
      <c r="X189" s="10">
        <v>0</v>
      </c>
      <c r="Y189" s="10" t="s">
        <v>324</v>
      </c>
      <c r="Z189" s="10"/>
      <c r="AA189" s="110">
        <v>45560</v>
      </c>
      <c r="AB189" s="32">
        <f>+Tabla1[[#This Row],[Total a Pagar]]</f>
        <v>348000</v>
      </c>
      <c r="AH189" s="10">
        <v>0</v>
      </c>
      <c r="AJ189" s="188"/>
    </row>
    <row r="190" spans="1:36" ht="13.95" hidden="1" customHeight="1" x14ac:dyDescent="0.3">
      <c r="A190" s="8" t="s">
        <v>25</v>
      </c>
      <c r="B190" s="53">
        <v>45558</v>
      </c>
      <c r="C190" s="12" t="s">
        <v>26</v>
      </c>
      <c r="D190" s="8" t="s">
        <v>27</v>
      </c>
      <c r="E190" s="9" t="s">
        <v>28</v>
      </c>
      <c r="F190" s="9" t="s">
        <v>240</v>
      </c>
      <c r="G190" s="4" t="s">
        <v>241</v>
      </c>
      <c r="H190" s="4">
        <v>27357831267</v>
      </c>
      <c r="I190" s="4" t="s">
        <v>239</v>
      </c>
      <c r="J190" s="8" t="s">
        <v>381</v>
      </c>
      <c r="K190" s="173">
        <v>1</v>
      </c>
      <c r="L190" s="10">
        <v>219200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f>+SUM(Tabla1[[#This Row],[IVA 21%]:[IVA 27%]])</f>
        <v>0</v>
      </c>
      <c r="V190" s="10">
        <f>+SUM(Tabla1[[#This Row],[Neto]:[Impuestos Internos / Otros Tributos]])</f>
        <v>219200</v>
      </c>
      <c r="W190" s="10">
        <f>+V190</f>
        <v>219200</v>
      </c>
      <c r="X190" s="10">
        <v>0</v>
      </c>
      <c r="Y190" s="10" t="s">
        <v>324</v>
      </c>
      <c r="Z190" s="10"/>
      <c r="AA190" s="110">
        <v>45560</v>
      </c>
      <c r="AB190" s="32">
        <f>+Tabla1[[#This Row],[Total a Pagar]]</f>
        <v>219200</v>
      </c>
      <c r="AH190" s="10">
        <v>0</v>
      </c>
      <c r="AJ190" s="188"/>
    </row>
    <row r="191" spans="1:36" ht="13.95" hidden="1" customHeight="1" x14ac:dyDescent="0.3">
      <c r="A191" s="8" t="s">
        <v>25</v>
      </c>
      <c r="B191" s="53">
        <v>45558</v>
      </c>
      <c r="C191" s="12" t="s">
        <v>402</v>
      </c>
      <c r="D191" s="8" t="s">
        <v>27</v>
      </c>
      <c r="E191" s="9" t="s">
        <v>28</v>
      </c>
      <c r="F191" s="9" t="s">
        <v>55</v>
      </c>
      <c r="G191" s="4" t="s">
        <v>258</v>
      </c>
      <c r="H191" s="4">
        <v>27373720904</v>
      </c>
      <c r="I191" s="4" t="s">
        <v>259</v>
      </c>
      <c r="J191" s="8" t="s">
        <v>381</v>
      </c>
      <c r="K191" s="173">
        <v>1</v>
      </c>
      <c r="L191" s="10">
        <v>131400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f>+SUM(Tabla1[[#This Row],[IVA 21%]:[IVA 27%]])</f>
        <v>0</v>
      </c>
      <c r="V191" s="10">
        <f>+SUM(Tabla1[[#This Row],[Neto]:[Impuestos Internos / Otros Tributos]])</f>
        <v>131400</v>
      </c>
      <c r="W191" s="10">
        <f>+Tabla1[[#This Row],[Total]]</f>
        <v>131400</v>
      </c>
      <c r="X191" s="10">
        <v>0</v>
      </c>
      <c r="Y191" s="10" t="s">
        <v>324</v>
      </c>
      <c r="Z191" s="10"/>
      <c r="AA191" s="110">
        <v>45560</v>
      </c>
      <c r="AB191" s="32">
        <f>+Tabla1[[#This Row],[Total a Pagar]]</f>
        <v>131400</v>
      </c>
      <c r="AH191" s="10">
        <v>0</v>
      </c>
      <c r="AJ191" s="188"/>
    </row>
    <row r="192" spans="1:36" ht="13.95" hidden="1" customHeight="1" x14ac:dyDescent="0.3">
      <c r="A192" s="8" t="s">
        <v>25</v>
      </c>
      <c r="B192" s="53">
        <v>45559</v>
      </c>
      <c r="C192" s="12" t="s">
        <v>410</v>
      </c>
      <c r="D192" s="8" t="s">
        <v>58</v>
      </c>
      <c r="E192" s="9" t="s">
        <v>340</v>
      </c>
      <c r="F192" s="9" t="s">
        <v>423</v>
      </c>
      <c r="G192" s="4" t="s">
        <v>424</v>
      </c>
      <c r="H192" s="4">
        <v>30604958640</v>
      </c>
      <c r="I192" s="4" t="s">
        <v>425</v>
      </c>
      <c r="J192" s="8" t="s">
        <v>381</v>
      </c>
      <c r="K192" s="173">
        <v>1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134152.93</v>
      </c>
      <c r="R192" s="10">
        <v>0</v>
      </c>
      <c r="S192" s="10">
        <v>0</v>
      </c>
      <c r="T192" s="10">
        <v>0</v>
      </c>
      <c r="U192" s="10">
        <f>+SUM(Tabla1[[#This Row],[IVA 21%]:[IVA 27%]])</f>
        <v>0</v>
      </c>
      <c r="V192" s="10">
        <f>+SUM(Tabla1[[#This Row],[Neto]:[Impuestos Internos / Otros Tributos]])</f>
        <v>134152.93</v>
      </c>
      <c r="W192" s="10">
        <f>+Tabla1[[#This Row],[Total]]</f>
        <v>134152.93</v>
      </c>
      <c r="X192" s="10">
        <v>0</v>
      </c>
      <c r="Y192" s="14"/>
      <c r="Z192" s="14"/>
      <c r="AA192" s="109"/>
      <c r="AJ192" s="188"/>
    </row>
    <row r="193" spans="1:36" ht="13.95" hidden="1" customHeight="1" x14ac:dyDescent="0.3">
      <c r="A193" s="8" t="s">
        <v>25</v>
      </c>
      <c r="B193" s="53">
        <v>45559</v>
      </c>
      <c r="C193" s="12" t="s">
        <v>26</v>
      </c>
      <c r="D193" s="8" t="s">
        <v>27</v>
      </c>
      <c r="E193" s="9" t="s">
        <v>28</v>
      </c>
      <c r="F193" s="9" t="s">
        <v>215</v>
      </c>
      <c r="G193" s="4" t="s">
        <v>216</v>
      </c>
      <c r="H193" s="4">
        <v>27434989693</v>
      </c>
      <c r="I193" s="81" t="s">
        <v>621</v>
      </c>
      <c r="J193" s="8" t="s">
        <v>381</v>
      </c>
      <c r="K193" s="173">
        <v>1</v>
      </c>
      <c r="L193" s="10">
        <v>1000000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f>+SUM(Tabla1[[#This Row],[IVA 21%]:[IVA 27%]])</f>
        <v>0</v>
      </c>
      <c r="V193" s="10">
        <f>+SUM(Tabla1[[#This Row],[Neto]:[Impuestos Internos / Otros Tributos]])</f>
        <v>1000000</v>
      </c>
      <c r="W193" s="10">
        <f>+V193</f>
        <v>1000000</v>
      </c>
      <c r="X193" s="10">
        <v>0</v>
      </c>
      <c r="Y193" s="10" t="s">
        <v>324</v>
      </c>
      <c r="Z193" s="10"/>
      <c r="AA193" s="110"/>
      <c r="AB193" s="32">
        <f>+Tabla1[[#This Row],[Total a Pagar]]</f>
        <v>1000000</v>
      </c>
      <c r="AH193" s="10">
        <v>0</v>
      </c>
      <c r="AJ193" s="188"/>
    </row>
    <row r="194" spans="1:36" ht="13.95" hidden="1" customHeight="1" x14ac:dyDescent="0.3">
      <c r="A194" s="8" t="s">
        <v>25</v>
      </c>
      <c r="B194" s="53">
        <v>45559</v>
      </c>
      <c r="C194" s="12" t="s">
        <v>26</v>
      </c>
      <c r="D194" s="8" t="s">
        <v>58</v>
      </c>
      <c r="E194" s="9" t="s">
        <v>32</v>
      </c>
      <c r="F194" s="9" t="s">
        <v>272</v>
      </c>
      <c r="G194" s="4" t="s">
        <v>273</v>
      </c>
      <c r="H194" s="4">
        <v>30710657315</v>
      </c>
      <c r="I194" s="4" t="s">
        <v>142</v>
      </c>
      <c r="J194" s="8" t="s">
        <v>381</v>
      </c>
      <c r="K194" s="173">
        <v>1</v>
      </c>
      <c r="L194" s="10">
        <v>59012.93</v>
      </c>
      <c r="M194" s="10">
        <f>+Tabla1[[#This Row],[Neto]]*21%</f>
        <v>12392.7153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f>+SUM(Tabla1[[#This Row],[IVA 21%]:[IVA 27%]])</f>
        <v>12392.7153</v>
      </c>
      <c r="V194" s="10">
        <f>+SUM(Tabla1[[#This Row],[Neto]:[Impuestos Internos / Otros Tributos]])</f>
        <v>71405.645300000004</v>
      </c>
      <c r="W194" s="10">
        <f>+Tabla1[[#This Row],[Total]]</f>
        <v>71405.645300000004</v>
      </c>
      <c r="X194" s="10"/>
      <c r="Y194" s="14" t="s">
        <v>324</v>
      </c>
      <c r="Z194" s="248" t="s">
        <v>982</v>
      </c>
      <c r="AA194" s="109">
        <v>45632</v>
      </c>
      <c r="AJ194" s="188"/>
    </row>
    <row r="195" spans="1:36" ht="13.95" hidden="1" customHeight="1" x14ac:dyDescent="0.3">
      <c r="A195" s="8" t="s">
        <v>25</v>
      </c>
      <c r="B195" s="53">
        <v>45559</v>
      </c>
      <c r="C195" s="12" t="s">
        <v>26</v>
      </c>
      <c r="D195" s="8" t="s">
        <v>58</v>
      </c>
      <c r="E195" s="9" t="s">
        <v>74</v>
      </c>
      <c r="F195" s="9" t="s">
        <v>317</v>
      </c>
      <c r="G195" s="4" t="s">
        <v>315</v>
      </c>
      <c r="H195" s="4">
        <v>33631274329</v>
      </c>
      <c r="I195" s="4" t="s">
        <v>316</v>
      </c>
      <c r="J195" s="8" t="s">
        <v>381</v>
      </c>
      <c r="K195" s="173">
        <v>1</v>
      </c>
      <c r="L195" s="10">
        <v>51040.72</v>
      </c>
      <c r="M195" s="10">
        <v>0</v>
      </c>
      <c r="N195" s="10">
        <f>+Tabla1[[#This Row],[Neto]]*10.5%</f>
        <v>5359.2755999999999</v>
      </c>
      <c r="O195" s="10">
        <v>0</v>
      </c>
      <c r="P195" s="10">
        <v>0</v>
      </c>
      <c r="Q195" s="10">
        <v>0</v>
      </c>
      <c r="R195" s="10">
        <v>0</v>
      </c>
      <c r="S195" s="10">
        <f>+Tabla1[[#This Row],[Neto]]*3.6%</f>
        <v>1837.4659200000003</v>
      </c>
      <c r="T195" s="10">
        <v>0</v>
      </c>
      <c r="U195" s="10">
        <f>+SUM(Tabla1[[#This Row],[IVA 21%]:[IVA 27%]])</f>
        <v>5359.2755999999999</v>
      </c>
      <c r="V195" s="10">
        <f>+SUM(Tabla1[[#This Row],[Neto]:[Impuestos Internos / Otros Tributos]])</f>
        <v>58237.461520000004</v>
      </c>
      <c r="W195" s="10">
        <f>+Tabla1[[#This Row],[Total]]</f>
        <v>58237.461520000004</v>
      </c>
      <c r="X195" s="10"/>
      <c r="Y195" s="14" t="s">
        <v>325</v>
      </c>
      <c r="Z195" s="14"/>
      <c r="AA195" s="109"/>
      <c r="AJ195" s="188"/>
    </row>
    <row r="196" spans="1:36" ht="13.95" hidden="1" customHeight="1" x14ac:dyDescent="0.3">
      <c r="A196" s="8" t="s">
        <v>25</v>
      </c>
      <c r="B196" s="53">
        <v>45560</v>
      </c>
      <c r="C196" s="12" t="s">
        <v>26</v>
      </c>
      <c r="D196" s="8" t="s">
        <v>27</v>
      </c>
      <c r="E196" s="9" t="s">
        <v>28</v>
      </c>
      <c r="F196" s="9" t="s">
        <v>45</v>
      </c>
      <c r="G196" s="4" t="s">
        <v>302</v>
      </c>
      <c r="H196" s="4">
        <v>27264993755</v>
      </c>
      <c r="I196" s="4" t="s">
        <v>303</v>
      </c>
      <c r="J196" s="8" t="s">
        <v>381</v>
      </c>
      <c r="K196" s="173">
        <v>1</v>
      </c>
      <c r="L196" s="10">
        <v>10000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f>+SUM(Tabla1[[#This Row],[IVA 21%]:[IVA 27%]])</f>
        <v>0</v>
      </c>
      <c r="V196" s="10">
        <f>+SUM(Tabla1[[#This Row],[Neto]:[Impuestos Internos / Otros Tributos]])</f>
        <v>10000</v>
      </c>
      <c r="W196" s="10">
        <f>+Tabla1[[#This Row],[Total]]</f>
        <v>10000</v>
      </c>
      <c r="X196" s="10"/>
      <c r="Y196" s="10" t="s">
        <v>324</v>
      </c>
      <c r="Z196" s="10"/>
      <c r="AA196" s="110"/>
      <c r="AB196" s="10">
        <v>0</v>
      </c>
      <c r="AH196" s="32">
        <f>+Tabla1[[#This Row],[Total a Pagar]]</f>
        <v>10000</v>
      </c>
      <c r="AJ196" s="188"/>
    </row>
    <row r="197" spans="1:36" ht="13.95" hidden="1" customHeight="1" x14ac:dyDescent="0.3">
      <c r="A197" s="8" t="s">
        <v>25</v>
      </c>
      <c r="B197" s="53">
        <v>45560</v>
      </c>
      <c r="C197" s="12" t="s">
        <v>26</v>
      </c>
      <c r="D197" s="8" t="s">
        <v>58</v>
      </c>
      <c r="E197" s="9" t="s">
        <v>64</v>
      </c>
      <c r="F197" s="9" t="s">
        <v>288</v>
      </c>
      <c r="G197" s="4" t="s">
        <v>66</v>
      </c>
      <c r="H197" s="4">
        <v>30717972232</v>
      </c>
      <c r="I197" s="4" t="s">
        <v>62</v>
      </c>
      <c r="J197" s="8" t="s">
        <v>381</v>
      </c>
      <c r="K197" s="173">
        <v>1</v>
      </c>
      <c r="L197" s="10">
        <v>24929.919999999998</v>
      </c>
      <c r="M197" s="10">
        <f>+Tabla1[[#This Row],[Neto]]*21%</f>
        <v>5235.2831999999999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f>+Tabla1[[#This Row],[Neto]]*3.6%</f>
        <v>897.47712000000001</v>
      </c>
      <c r="T197" s="10">
        <v>0</v>
      </c>
      <c r="U197" s="10">
        <f>+SUM(Tabla1[[#This Row],[IVA 21%]:[IVA 27%]])</f>
        <v>5235.2831999999999</v>
      </c>
      <c r="V197" s="10">
        <f>+SUM(Tabla1[[#This Row],[Neto]:[Impuestos Internos / Otros Tributos]])</f>
        <v>31062.680319999996</v>
      </c>
      <c r="W197" s="10">
        <f>+Tabla1[[#This Row],[Total]]</f>
        <v>31062.680319999996</v>
      </c>
      <c r="X197" s="10"/>
      <c r="Y197" s="10" t="s">
        <v>324</v>
      </c>
      <c r="Z197" s="10"/>
      <c r="AA197" s="110"/>
      <c r="AB197" s="10">
        <v>0</v>
      </c>
      <c r="AH197" s="32">
        <f>+Tabla1[[#This Row],[Total a Pagar]]</f>
        <v>31062.680319999996</v>
      </c>
      <c r="AJ197" s="188"/>
    </row>
    <row r="198" spans="1:36" ht="13.95" hidden="1" customHeight="1" x14ac:dyDescent="0.3">
      <c r="A198" s="8" t="s">
        <v>25</v>
      </c>
      <c r="B198" s="53">
        <v>45560</v>
      </c>
      <c r="C198" s="12" t="s">
        <v>26</v>
      </c>
      <c r="D198" s="8" t="s">
        <v>417</v>
      </c>
      <c r="E198" s="9" t="s">
        <v>418</v>
      </c>
      <c r="F198" s="9" t="s">
        <v>422</v>
      </c>
      <c r="G198" s="4" t="s">
        <v>420</v>
      </c>
      <c r="H198" s="4">
        <v>30717948900</v>
      </c>
      <c r="I198" s="4" t="s">
        <v>421</v>
      </c>
      <c r="J198" s="8" t="s">
        <v>381</v>
      </c>
      <c r="K198" s="173">
        <v>1</v>
      </c>
      <c r="L198" s="10">
        <v>186776.86</v>
      </c>
      <c r="M198" s="10">
        <f>+Tabla1[[#This Row],[Neto]]*21%</f>
        <v>39223.140599999999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f>+SUM(Tabla1[[#This Row],[IVA 21%]:[IVA 27%]])</f>
        <v>39223.140599999999</v>
      </c>
      <c r="V198" s="10">
        <f>+SUM(Tabla1[[#This Row],[Neto]:[Impuestos Internos / Otros Tributos]])</f>
        <v>226000.00059999997</v>
      </c>
      <c r="W198" s="10">
        <f>+Tabla1[[#This Row],[Total]]</f>
        <v>226000.00059999997</v>
      </c>
      <c r="X198" s="10">
        <v>0</v>
      </c>
      <c r="Y198" s="14" t="s">
        <v>325</v>
      </c>
      <c r="Z198" s="14"/>
      <c r="AA198" s="109"/>
      <c r="AJ198" s="188"/>
    </row>
    <row r="199" spans="1:36" ht="13.95" hidden="1" customHeight="1" x14ac:dyDescent="0.3">
      <c r="A199" s="8" t="s">
        <v>25</v>
      </c>
      <c r="B199" s="53">
        <v>45560</v>
      </c>
      <c r="C199" s="12" t="s">
        <v>26</v>
      </c>
      <c r="D199" s="8" t="s">
        <v>27</v>
      </c>
      <c r="E199" s="9" t="s">
        <v>28</v>
      </c>
      <c r="F199" s="9" t="s">
        <v>174</v>
      </c>
      <c r="G199" s="4" t="s">
        <v>220</v>
      </c>
      <c r="H199" s="4">
        <v>27401494850</v>
      </c>
      <c r="I199" s="4" t="s">
        <v>221</v>
      </c>
      <c r="J199" s="8" t="s">
        <v>381</v>
      </c>
      <c r="K199" s="173">
        <v>1</v>
      </c>
      <c r="L199" s="10">
        <v>84000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f>+SUM(Tabla1[[#This Row],[IVA 21%]:[IVA 27%]])</f>
        <v>0</v>
      </c>
      <c r="V199" s="10">
        <f>+SUM(Tabla1[[#This Row],[Neto]:[Impuestos Internos / Otros Tributos]])</f>
        <v>84000</v>
      </c>
      <c r="W199" s="10">
        <f t="shared" ref="W199:W204" si="0">+V199</f>
        <v>84000</v>
      </c>
      <c r="X199" s="10"/>
      <c r="Y199" s="10" t="s">
        <v>324</v>
      </c>
      <c r="Z199" s="10"/>
      <c r="AA199" s="110">
        <v>45562</v>
      </c>
      <c r="AB199" s="32">
        <f>+W199</f>
        <v>84000</v>
      </c>
      <c r="AH199" s="10">
        <v>0</v>
      </c>
      <c r="AJ199" s="188"/>
    </row>
    <row r="200" spans="1:36" ht="13.95" customHeight="1" x14ac:dyDescent="0.3">
      <c r="A200" s="244" t="s">
        <v>25</v>
      </c>
      <c r="B200" s="245">
        <v>45560</v>
      </c>
      <c r="C200" s="246" t="s">
        <v>26</v>
      </c>
      <c r="D200" s="244" t="s">
        <v>58</v>
      </c>
      <c r="E200" s="235" t="s">
        <v>32</v>
      </c>
      <c r="F200" s="235" t="s">
        <v>210</v>
      </c>
      <c r="G200" s="243" t="s">
        <v>146</v>
      </c>
      <c r="H200" s="243">
        <v>33716385359</v>
      </c>
      <c r="I200" s="243" t="s">
        <v>142</v>
      </c>
      <c r="J200" s="8" t="s">
        <v>381</v>
      </c>
      <c r="K200" s="173">
        <v>1</v>
      </c>
      <c r="L200" s="229">
        <v>61000</v>
      </c>
      <c r="M200" s="229">
        <f>+L200*21%</f>
        <v>12810</v>
      </c>
      <c r="N200" s="10">
        <v>0</v>
      </c>
      <c r="O200" s="10">
        <v>0</v>
      </c>
      <c r="P200" s="10">
        <v>0</v>
      </c>
      <c r="Q200" s="229">
        <v>203000</v>
      </c>
      <c r="R200" s="10">
        <v>0</v>
      </c>
      <c r="S200" s="229">
        <f>+(Q200+L200)*3.6%</f>
        <v>9504.0000000000018</v>
      </c>
      <c r="T200" s="10">
        <v>0</v>
      </c>
      <c r="U200" s="229">
        <f>+SUM(Tabla1[[#This Row],[IVA 21%]:[IVA 27%]])</f>
        <v>12810</v>
      </c>
      <c r="V200" s="229">
        <f>+SUM(Tabla1[[#This Row],[Neto]:[Impuestos Internos / Otros Tributos]])</f>
        <v>286314</v>
      </c>
      <c r="W200" s="229">
        <f t="shared" si="0"/>
        <v>286314</v>
      </c>
      <c r="X200" s="229">
        <v>0</v>
      </c>
      <c r="Y200" s="229" t="s">
        <v>324</v>
      </c>
      <c r="Z200" s="229"/>
      <c r="AA200" s="247">
        <v>45583</v>
      </c>
      <c r="AB200" s="229">
        <v>8548484.0199999996</v>
      </c>
      <c r="AJ200" s="4" t="s">
        <v>964</v>
      </c>
    </row>
    <row r="201" spans="1:36" ht="13.95" hidden="1" customHeight="1" x14ac:dyDescent="0.3">
      <c r="A201" s="8" t="s">
        <v>25</v>
      </c>
      <c r="B201" s="53">
        <v>45560</v>
      </c>
      <c r="C201" s="12" t="s">
        <v>26</v>
      </c>
      <c r="D201" s="8" t="s">
        <v>27</v>
      </c>
      <c r="E201" s="9" t="s">
        <v>28</v>
      </c>
      <c r="F201" s="9" t="s">
        <v>43</v>
      </c>
      <c r="G201" s="4" t="s">
        <v>218</v>
      </c>
      <c r="H201" s="4">
        <v>23375110199</v>
      </c>
      <c r="I201" s="4" t="s">
        <v>219</v>
      </c>
      <c r="J201" s="8" t="s">
        <v>381</v>
      </c>
      <c r="K201" s="173">
        <v>1</v>
      </c>
      <c r="L201" s="10">
        <v>240000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f>+SUM(Tabla1[[#This Row],[IVA 21%]:[IVA 27%]])</f>
        <v>0</v>
      </c>
      <c r="V201" s="10">
        <f>+SUM(Tabla1[[#This Row],[Neto]:[Impuestos Internos / Otros Tributos]])</f>
        <v>240000</v>
      </c>
      <c r="W201" s="10">
        <f t="shared" si="0"/>
        <v>240000</v>
      </c>
      <c r="X201" s="10">
        <v>0</v>
      </c>
      <c r="Y201" s="10" t="s">
        <v>324</v>
      </c>
      <c r="Z201" s="10"/>
      <c r="AA201" s="110">
        <v>45561</v>
      </c>
      <c r="AB201" s="32">
        <f>+Tabla1[[#This Row],[Total a Pagar]]</f>
        <v>240000</v>
      </c>
      <c r="AH201" s="10">
        <v>0</v>
      </c>
      <c r="AJ201" s="188"/>
    </row>
    <row r="202" spans="1:36" ht="13.95" hidden="1" customHeight="1" x14ac:dyDescent="0.3">
      <c r="A202" s="8" t="s">
        <v>25</v>
      </c>
      <c r="B202" s="53">
        <v>45560</v>
      </c>
      <c r="C202" s="12" t="s">
        <v>26</v>
      </c>
      <c r="D202" s="8" t="s">
        <v>27</v>
      </c>
      <c r="E202" s="9" t="s">
        <v>37</v>
      </c>
      <c r="F202" s="9" t="s">
        <v>134</v>
      </c>
      <c r="G202" s="4" t="s">
        <v>231</v>
      </c>
      <c r="H202" s="4">
        <v>27288248570</v>
      </c>
      <c r="I202" s="4" t="s">
        <v>232</v>
      </c>
      <c r="J202" s="8" t="s">
        <v>381</v>
      </c>
      <c r="K202" s="173">
        <v>1</v>
      </c>
      <c r="L202" s="10">
        <v>22986.78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f>+SUM(Tabla1[[#This Row],[IVA 21%]:[IVA 27%]])</f>
        <v>0</v>
      </c>
      <c r="V202" s="10">
        <f>+SUM(Tabla1[[#This Row],[Neto]:[Impuestos Internos / Otros Tributos]])</f>
        <v>22986.78</v>
      </c>
      <c r="W202" s="10">
        <f t="shared" si="0"/>
        <v>22986.78</v>
      </c>
      <c r="X202" s="10"/>
      <c r="Y202" s="10" t="s">
        <v>324</v>
      </c>
      <c r="Z202" s="10"/>
      <c r="AA202" s="110">
        <v>45562</v>
      </c>
      <c r="AB202" s="32">
        <f>+Tabla1[[#This Row],[Total a Pagar]]</f>
        <v>22986.78</v>
      </c>
      <c r="AH202" s="10">
        <v>0</v>
      </c>
      <c r="AJ202" s="188"/>
    </row>
    <row r="203" spans="1:36" ht="13.95" hidden="1" customHeight="1" x14ac:dyDescent="0.3">
      <c r="A203" s="8" t="s">
        <v>25</v>
      </c>
      <c r="B203" s="53">
        <v>45560</v>
      </c>
      <c r="C203" s="12" t="s">
        <v>26</v>
      </c>
      <c r="D203" s="8" t="s">
        <v>27</v>
      </c>
      <c r="E203" s="9" t="s">
        <v>37</v>
      </c>
      <c r="F203" s="9" t="s">
        <v>245</v>
      </c>
      <c r="G203" s="4" t="s">
        <v>246</v>
      </c>
      <c r="H203" s="4">
        <v>27261538046</v>
      </c>
      <c r="I203" s="4" t="s">
        <v>239</v>
      </c>
      <c r="J203" s="8" t="s">
        <v>381</v>
      </c>
      <c r="K203" s="173">
        <v>1</v>
      </c>
      <c r="L203" s="10">
        <v>92000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f>+SUM(Tabla1[[#This Row],[IVA 21%]:[IVA 27%]])</f>
        <v>0</v>
      </c>
      <c r="V203" s="10">
        <f>+SUM(Tabla1[[#This Row],[Neto]:[Impuestos Internos / Otros Tributos]])</f>
        <v>92000</v>
      </c>
      <c r="W203" s="10">
        <f t="shared" si="0"/>
        <v>92000</v>
      </c>
      <c r="X203" s="10">
        <v>0</v>
      </c>
      <c r="Y203" s="10" t="s">
        <v>324</v>
      </c>
      <c r="Z203" s="10"/>
      <c r="AA203" s="110">
        <v>45561</v>
      </c>
      <c r="AB203" s="32">
        <f>+Tabla1[[#This Row],[Total a Pagar]]</f>
        <v>92000</v>
      </c>
      <c r="AH203" s="10">
        <v>0</v>
      </c>
      <c r="AJ203" s="188"/>
    </row>
    <row r="204" spans="1:36" ht="13.95" hidden="1" customHeight="1" x14ac:dyDescent="0.3">
      <c r="A204" s="8" t="s">
        <v>25</v>
      </c>
      <c r="B204" s="53">
        <v>45560</v>
      </c>
      <c r="C204" s="12" t="s">
        <v>26</v>
      </c>
      <c r="D204" s="8" t="s">
        <v>27</v>
      </c>
      <c r="E204" s="9" t="s">
        <v>37</v>
      </c>
      <c r="F204" s="9" t="s">
        <v>229</v>
      </c>
      <c r="G204" s="4" t="s">
        <v>230</v>
      </c>
      <c r="H204" s="4">
        <v>27432189045</v>
      </c>
      <c r="I204" s="4" t="s">
        <v>242</v>
      </c>
      <c r="J204" s="8" t="s">
        <v>381</v>
      </c>
      <c r="K204" s="173">
        <v>1</v>
      </c>
      <c r="L204" s="10">
        <v>250000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f>+SUM(Tabla1[[#This Row],[IVA 21%]:[IVA 27%]])</f>
        <v>0</v>
      </c>
      <c r="V204" s="10">
        <f>+SUM(Tabla1[[#This Row],[Neto]:[Impuestos Internos / Otros Tributos]])</f>
        <v>250000</v>
      </c>
      <c r="W204" s="10">
        <f t="shared" si="0"/>
        <v>250000</v>
      </c>
      <c r="X204" s="10">
        <v>0</v>
      </c>
      <c r="Y204" s="10" t="s">
        <v>324</v>
      </c>
      <c r="Z204" s="10"/>
      <c r="AA204" s="110">
        <v>45561</v>
      </c>
      <c r="AB204" s="32">
        <f>+Tabla1[[#This Row],[Total a Pagar]]</f>
        <v>250000</v>
      </c>
      <c r="AH204" s="10">
        <v>0</v>
      </c>
      <c r="AJ204" s="188"/>
    </row>
    <row r="205" spans="1:36" ht="13.95" hidden="1" customHeight="1" x14ac:dyDescent="0.3">
      <c r="A205" s="8" t="s">
        <v>25</v>
      </c>
      <c r="B205" s="53">
        <v>45560</v>
      </c>
      <c r="C205" s="12" t="s">
        <v>26</v>
      </c>
      <c r="D205" s="8" t="s">
        <v>58</v>
      </c>
      <c r="E205" s="9" t="s">
        <v>716</v>
      </c>
      <c r="F205" s="9" t="s">
        <v>717</v>
      </c>
      <c r="G205" s="4" t="s">
        <v>718</v>
      </c>
      <c r="H205" s="4">
        <v>33681265339</v>
      </c>
      <c r="I205" s="4" t="s">
        <v>719</v>
      </c>
      <c r="J205" s="8" t="s">
        <v>381</v>
      </c>
      <c r="K205" s="173">
        <v>1</v>
      </c>
      <c r="L205" s="10">
        <v>75186.64</v>
      </c>
      <c r="M205" s="10">
        <v>0</v>
      </c>
      <c r="N205" s="10">
        <f>+Tabla1[[#This Row],[Neto]]*10.5%</f>
        <v>7894.5971999999992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f>+SUM(Tabla1[[#This Row],[IVA 21%]:[IVA 27%]])</f>
        <v>7894.5971999999992</v>
      </c>
      <c r="V205" s="10">
        <f>+SUM(Tabla1[[#This Row],[Neto]:[Impuestos Internos / Otros Tributos]])</f>
        <v>83081.237200000003</v>
      </c>
      <c r="W205" s="10">
        <f>+Tabla1[[#This Row],[Total]]</f>
        <v>83081.237200000003</v>
      </c>
      <c r="X205" s="10">
        <v>0</v>
      </c>
      <c r="Y205" s="49" t="s">
        <v>324</v>
      </c>
      <c r="AA205" s="109">
        <v>45560</v>
      </c>
      <c r="AB205" s="10">
        <v>0</v>
      </c>
      <c r="AH205" s="32">
        <f>+Tabla1[[#This Row],[Total a Pagar]]</f>
        <v>83081.237200000003</v>
      </c>
      <c r="AJ205" s="188"/>
    </row>
    <row r="206" spans="1:36" ht="13.95" hidden="1" customHeight="1" x14ac:dyDescent="0.3">
      <c r="A206" s="8" t="s">
        <v>25</v>
      </c>
      <c r="B206" s="53">
        <v>45560</v>
      </c>
      <c r="C206" s="12" t="s">
        <v>26</v>
      </c>
      <c r="D206" s="8" t="s">
        <v>58</v>
      </c>
      <c r="E206" s="9" t="s">
        <v>720</v>
      </c>
      <c r="F206" s="9" t="s">
        <v>721</v>
      </c>
      <c r="G206" s="4" t="s">
        <v>722</v>
      </c>
      <c r="H206" s="4">
        <v>30714798037</v>
      </c>
      <c r="I206" s="4" t="s">
        <v>723</v>
      </c>
      <c r="J206" s="8" t="s">
        <v>381</v>
      </c>
      <c r="K206" s="173">
        <v>1</v>
      </c>
      <c r="L206" s="10">
        <v>18925.62</v>
      </c>
      <c r="M206" s="10">
        <f>+Tabla1[[#This Row],[Neto]]*21%</f>
        <v>3974.3801999999996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f>+SUM(Tabla1[[#This Row],[IVA 21%]:[IVA 27%]])</f>
        <v>3974.3801999999996</v>
      </c>
      <c r="V206" s="10">
        <f>+SUM(Tabla1[[#This Row],[Neto]:[Impuestos Internos / Otros Tributos]])</f>
        <v>22900.000199999999</v>
      </c>
      <c r="W206" s="10">
        <f>+Tabla1[[#This Row],[Total]]</f>
        <v>22900.000199999999</v>
      </c>
      <c r="X206" s="10">
        <v>0</v>
      </c>
      <c r="Y206" s="49" t="s">
        <v>324</v>
      </c>
      <c r="AA206" s="109">
        <v>45560</v>
      </c>
      <c r="AB206" s="10">
        <v>0</v>
      </c>
      <c r="AH206" s="32">
        <f>+Tabla1[[#This Row],[Total a Pagar]]</f>
        <v>22900.000199999999</v>
      </c>
      <c r="AJ206" s="188"/>
    </row>
    <row r="207" spans="1:36" ht="13.95" hidden="1" customHeight="1" x14ac:dyDescent="0.3">
      <c r="A207" s="8" t="s">
        <v>25</v>
      </c>
      <c r="B207" s="53">
        <v>45561</v>
      </c>
      <c r="C207" s="12" t="s">
        <v>26</v>
      </c>
      <c r="D207" s="8" t="s">
        <v>27</v>
      </c>
      <c r="E207" s="9" t="s">
        <v>37</v>
      </c>
      <c r="F207" s="9" t="s">
        <v>312</v>
      </c>
      <c r="G207" s="4" t="s">
        <v>313</v>
      </c>
      <c r="H207" s="4">
        <v>20237659814</v>
      </c>
      <c r="I207" s="4" t="s">
        <v>314</v>
      </c>
      <c r="J207" s="8" t="s">
        <v>381</v>
      </c>
      <c r="K207" s="173">
        <v>1</v>
      </c>
      <c r="L207" s="10">
        <v>70000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f>+SUM(Tabla1[[#This Row],[IVA 21%]:[IVA 27%]])</f>
        <v>0</v>
      </c>
      <c r="V207" s="10">
        <f>+SUM(Tabla1[[#This Row],[Neto]:[Impuestos Internos / Otros Tributos]])</f>
        <v>70000</v>
      </c>
      <c r="W207" s="10">
        <f>+Tabla1[[#This Row],[Total]]</f>
        <v>70000</v>
      </c>
      <c r="X207" s="10"/>
      <c r="Y207" s="10" t="s">
        <v>324</v>
      </c>
      <c r="Z207" s="10"/>
      <c r="AA207" s="110"/>
      <c r="AB207" s="10">
        <v>0</v>
      </c>
      <c r="AH207" s="32">
        <f>+Tabla1[[#This Row],[Total a Pagar]]</f>
        <v>70000</v>
      </c>
      <c r="AJ207" s="188"/>
    </row>
    <row r="208" spans="1:36" ht="13.95" hidden="1" customHeight="1" x14ac:dyDescent="0.3">
      <c r="A208" s="8" t="s">
        <v>25</v>
      </c>
      <c r="B208" s="53">
        <v>45561</v>
      </c>
      <c r="C208" s="12" t="s">
        <v>26</v>
      </c>
      <c r="D208" s="8" t="s">
        <v>27</v>
      </c>
      <c r="E208" s="9" t="s">
        <v>37</v>
      </c>
      <c r="F208" s="9" t="s">
        <v>289</v>
      </c>
      <c r="G208" s="4" t="s">
        <v>78</v>
      </c>
      <c r="H208" s="4">
        <v>20105424605</v>
      </c>
      <c r="I208" s="4" t="s">
        <v>277</v>
      </c>
      <c r="J208" s="8" t="s">
        <v>381</v>
      </c>
      <c r="K208" s="173">
        <v>1</v>
      </c>
      <c r="L208" s="10">
        <v>10320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f>+SUM(Tabla1[[#This Row],[IVA 21%]:[IVA 27%]])</f>
        <v>0</v>
      </c>
      <c r="V208" s="10">
        <f>+SUM(Tabla1[[#This Row],[Neto]:[Impuestos Internos / Otros Tributos]])</f>
        <v>10320</v>
      </c>
      <c r="W208" s="10">
        <f>+Tabla1[[#This Row],[Total]]</f>
        <v>10320</v>
      </c>
      <c r="X208" s="10"/>
      <c r="Y208" s="10" t="s">
        <v>324</v>
      </c>
      <c r="Z208" s="10"/>
      <c r="AA208" s="110"/>
      <c r="AB208" s="10">
        <v>0</v>
      </c>
      <c r="AH208" s="32">
        <f>+Tabla1[[#This Row],[Total a Pagar]]</f>
        <v>10320</v>
      </c>
      <c r="AJ208" s="188"/>
    </row>
    <row r="209" spans="1:36" ht="13.95" hidden="1" customHeight="1" x14ac:dyDescent="0.3">
      <c r="A209" s="28" t="s">
        <v>25</v>
      </c>
      <c r="B209" s="58">
        <v>45561</v>
      </c>
      <c r="C209" s="12" t="s">
        <v>26</v>
      </c>
      <c r="D209" s="8" t="s">
        <v>58</v>
      </c>
      <c r="E209" s="9" t="s">
        <v>67</v>
      </c>
      <c r="F209" s="9" t="s">
        <v>373</v>
      </c>
      <c r="G209" s="30" t="s">
        <v>374</v>
      </c>
      <c r="H209" s="30">
        <v>30712149945</v>
      </c>
      <c r="I209" s="30" t="s">
        <v>375</v>
      </c>
      <c r="J209" s="8" t="s">
        <v>381</v>
      </c>
      <c r="K209" s="173">
        <v>1</v>
      </c>
      <c r="L209" s="31">
        <v>51722.37</v>
      </c>
      <c r="M209" s="31">
        <f>+Tabla1[[#This Row],[Neto]]*21%</f>
        <v>10861.697700000001</v>
      </c>
      <c r="N209" s="31">
        <v>0</v>
      </c>
      <c r="O209" s="31">
        <v>0</v>
      </c>
      <c r="P209" s="31">
        <v>0</v>
      </c>
      <c r="Q209" s="31">
        <v>0</v>
      </c>
      <c r="R209" s="31">
        <v>0</v>
      </c>
      <c r="S209" s="31">
        <v>0</v>
      </c>
      <c r="T209" s="31">
        <v>0</v>
      </c>
      <c r="U209" s="10">
        <f>+SUM(Tabla1[[#This Row],[IVA 21%]:[IVA 27%]])</f>
        <v>10861.697700000001</v>
      </c>
      <c r="V209" s="10">
        <f>+SUM(Tabla1[[#This Row],[Neto]:[Impuestos Internos / Otros Tributos]])</f>
        <v>62584.0677</v>
      </c>
      <c r="W209" s="10">
        <f>+Tabla1[[#This Row],[Total]]</f>
        <v>62584.0677</v>
      </c>
      <c r="X209" s="31">
        <v>0</v>
      </c>
      <c r="Y209" s="10" t="s">
        <v>324</v>
      </c>
      <c r="Z209" s="10"/>
      <c r="AA209" s="112">
        <v>45560</v>
      </c>
      <c r="AB209" s="32">
        <f>+Tabla1[[#This Row],[Total a Pagar]]</f>
        <v>62584.0677</v>
      </c>
      <c r="AC209" s="30"/>
      <c r="AD209" s="30"/>
      <c r="AE209" s="30"/>
      <c r="AF209" s="30"/>
      <c r="AG209" s="30"/>
      <c r="AH209" s="31">
        <v>0</v>
      </c>
      <c r="AI209" s="30"/>
      <c r="AJ209" s="188"/>
    </row>
    <row r="210" spans="1:36" ht="13.95" hidden="1" customHeight="1" x14ac:dyDescent="0.3">
      <c r="A210" s="8" t="s">
        <v>25</v>
      </c>
      <c r="B210" s="53">
        <v>45561</v>
      </c>
      <c r="C210" s="12" t="s">
        <v>26</v>
      </c>
      <c r="D210" s="8" t="s">
        <v>27</v>
      </c>
      <c r="E210" s="9" t="s">
        <v>28</v>
      </c>
      <c r="F210" s="9" t="s">
        <v>228</v>
      </c>
      <c r="G210" s="4" t="s">
        <v>243</v>
      </c>
      <c r="H210" s="4">
        <v>27422057906</v>
      </c>
      <c r="I210" s="4" t="s">
        <v>244</v>
      </c>
      <c r="J210" s="8" t="s">
        <v>381</v>
      </c>
      <c r="K210" s="173">
        <v>1</v>
      </c>
      <c r="L210" s="10">
        <v>70000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f>+SUM(Tabla1[[#This Row],[IVA 21%]:[IVA 27%]])</f>
        <v>0</v>
      </c>
      <c r="V210" s="10">
        <f>+SUM(Tabla1[[#This Row],[Neto]:[Impuestos Internos / Otros Tributos]])</f>
        <v>70000</v>
      </c>
      <c r="W210" s="10">
        <f>+Tabla1[[#This Row],[Total]]</f>
        <v>70000</v>
      </c>
      <c r="X210" s="10">
        <v>0</v>
      </c>
      <c r="Y210" s="10" t="s">
        <v>324</v>
      </c>
      <c r="Z210" s="10"/>
      <c r="AA210" s="110">
        <v>45561</v>
      </c>
      <c r="AB210" s="32">
        <f>+Tabla1[[#This Row],[Total a Pagar]]</f>
        <v>70000</v>
      </c>
      <c r="AH210" s="10">
        <v>0</v>
      </c>
      <c r="AJ210" s="188"/>
    </row>
    <row r="211" spans="1:36" ht="13.95" hidden="1" customHeight="1" x14ac:dyDescent="0.3">
      <c r="A211" s="102" t="s">
        <v>25</v>
      </c>
      <c r="B211" s="53">
        <v>45561</v>
      </c>
      <c r="C211" s="12" t="s">
        <v>26</v>
      </c>
      <c r="D211" s="8" t="s">
        <v>58</v>
      </c>
      <c r="E211" s="9" t="s">
        <v>308</v>
      </c>
      <c r="F211" s="9" t="s">
        <v>712</v>
      </c>
      <c r="G211" s="104" t="s">
        <v>306</v>
      </c>
      <c r="H211" s="4">
        <v>33681246989</v>
      </c>
      <c r="I211" s="4" t="s">
        <v>307</v>
      </c>
      <c r="J211" s="8" t="s">
        <v>381</v>
      </c>
      <c r="K211" s="173">
        <v>1</v>
      </c>
      <c r="L211" s="105">
        <v>202714.93</v>
      </c>
      <c r="M211" s="105">
        <v>0</v>
      </c>
      <c r="N211" s="105">
        <f>+Tabla1[[#This Row],[Neto]]*10.5%</f>
        <v>21285.067649999997</v>
      </c>
      <c r="O211" s="105">
        <v>0</v>
      </c>
      <c r="P211" s="105">
        <v>0</v>
      </c>
      <c r="Q211" s="105">
        <v>0</v>
      </c>
      <c r="R211" s="105">
        <v>0</v>
      </c>
      <c r="S211" s="105">
        <v>0</v>
      </c>
      <c r="T211" s="105">
        <v>0</v>
      </c>
      <c r="U211" s="105">
        <f>+SUM(Tabla1[[#This Row],[IVA 21%]:[IVA 27%]])</f>
        <v>21285.067649999997</v>
      </c>
      <c r="V211" s="10">
        <f>+SUM(Tabla1[[#This Row],[Neto]:[Impuestos Internos / Otros Tributos]])</f>
        <v>223999.99764999998</v>
      </c>
      <c r="W211" s="10">
        <f>+Tabla1[[#This Row],[Total]]</f>
        <v>223999.99764999998</v>
      </c>
      <c r="X211" s="105">
        <v>0</v>
      </c>
      <c r="Y211" s="10" t="s">
        <v>324</v>
      </c>
      <c r="Z211" s="10"/>
      <c r="AA211" s="117">
        <v>45561</v>
      </c>
      <c r="AB211" s="105">
        <v>0</v>
      </c>
      <c r="AC211" s="104"/>
      <c r="AD211" s="104"/>
      <c r="AE211" s="104"/>
      <c r="AF211" s="104"/>
      <c r="AG211" s="104"/>
      <c r="AH211" s="32">
        <f>+Tabla1[[#This Row],[Total a Pagar]]</f>
        <v>223999.99764999998</v>
      </c>
      <c r="AI211" s="104"/>
      <c r="AJ211" s="188"/>
    </row>
    <row r="212" spans="1:36" ht="13.95" hidden="1" customHeight="1" x14ac:dyDescent="0.3">
      <c r="A212" s="8" t="s">
        <v>25</v>
      </c>
      <c r="B212" s="53">
        <v>45562</v>
      </c>
      <c r="C212" s="12" t="s">
        <v>26</v>
      </c>
      <c r="D212" s="8" t="s">
        <v>58</v>
      </c>
      <c r="E212" s="9" t="s">
        <v>37</v>
      </c>
      <c r="F212" s="9" t="s">
        <v>512</v>
      </c>
      <c r="G212" s="4" t="s">
        <v>131</v>
      </c>
      <c r="H212" s="4">
        <v>30712291237</v>
      </c>
      <c r="I212" s="4" t="s">
        <v>132</v>
      </c>
      <c r="J212" s="8" t="s">
        <v>381</v>
      </c>
      <c r="K212" s="173">
        <v>1</v>
      </c>
      <c r="L212" s="10">
        <v>273405</v>
      </c>
      <c r="M212" s="10">
        <f>+Tabla1[[#This Row],[Neto]]*21%</f>
        <v>57415.049999999996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f>+SUM(Tabla1[[#This Row],[IVA 21%]:[IVA 27%]])</f>
        <v>57415.049999999996</v>
      </c>
      <c r="V212" s="10">
        <f>+SUM(Tabla1[[#This Row],[Neto]:[Impuestos Internos / Otros Tributos]])</f>
        <v>330820.05</v>
      </c>
      <c r="W212" s="10">
        <f>+Tabla1[[#This Row],[Total]]</f>
        <v>330820.05</v>
      </c>
      <c r="X212" s="10">
        <f>+Tabla1[[#This Row],[Neto]]*2%</f>
        <v>5468.1</v>
      </c>
      <c r="Y212" s="14" t="s">
        <v>324</v>
      </c>
      <c r="Z212" s="14"/>
      <c r="AA212" s="109">
        <v>45583</v>
      </c>
      <c r="AB212" s="32">
        <f>+Tabla1[[#This Row],[Total a Pagar]]-Tabla1[[#This Row],[SICORE]]</f>
        <v>325351.95</v>
      </c>
      <c r="AH212" s="10">
        <v>0</v>
      </c>
      <c r="AJ212" s="188"/>
    </row>
    <row r="213" spans="1:36" ht="13.95" hidden="1" customHeight="1" x14ac:dyDescent="0.3">
      <c r="A213" s="8" t="s">
        <v>25</v>
      </c>
      <c r="B213" s="53">
        <v>45562</v>
      </c>
      <c r="C213" s="12" t="s">
        <v>26</v>
      </c>
      <c r="D213" s="8" t="s">
        <v>27</v>
      </c>
      <c r="E213" s="9" t="s">
        <v>28</v>
      </c>
      <c r="F213" s="9" t="s">
        <v>159</v>
      </c>
      <c r="G213" s="4" t="s">
        <v>217</v>
      </c>
      <c r="H213" s="4">
        <v>20406602681</v>
      </c>
      <c r="I213" s="4" t="s">
        <v>796</v>
      </c>
      <c r="J213" s="8" t="s">
        <v>381</v>
      </c>
      <c r="K213" s="173">
        <v>1</v>
      </c>
      <c r="L213" s="10">
        <v>350000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f>+SUM(Tabla1[[#This Row],[IVA 21%]:[IVA 27%]])</f>
        <v>0</v>
      </c>
      <c r="V213" s="10">
        <f>+SUM(Tabla1[[#This Row],[Neto]:[Impuestos Internos / Otros Tributos]])</f>
        <v>350000</v>
      </c>
      <c r="W213" s="10">
        <f>+V213</f>
        <v>350000</v>
      </c>
      <c r="X213" s="10">
        <v>0</v>
      </c>
      <c r="Y213" s="10" t="s">
        <v>324</v>
      </c>
      <c r="Z213" s="10"/>
      <c r="AA213" s="110">
        <v>45562</v>
      </c>
      <c r="AB213" s="32">
        <f>+Tabla1[[#This Row],[Total a Pagar]]</f>
        <v>350000</v>
      </c>
      <c r="AH213" s="10">
        <v>0</v>
      </c>
      <c r="AJ213" s="188"/>
    </row>
    <row r="214" spans="1:36" ht="13.95" hidden="1" customHeight="1" x14ac:dyDescent="0.3">
      <c r="A214" s="8" t="s">
        <v>25</v>
      </c>
      <c r="B214" s="53">
        <v>45562</v>
      </c>
      <c r="C214" s="12" t="s">
        <v>26</v>
      </c>
      <c r="D214" s="8" t="s">
        <v>27</v>
      </c>
      <c r="E214" s="9" t="s">
        <v>37</v>
      </c>
      <c r="F214" s="9" t="s">
        <v>356</v>
      </c>
      <c r="G214" s="4" t="s">
        <v>78</v>
      </c>
      <c r="H214" s="4">
        <v>20105424605</v>
      </c>
      <c r="I214" s="4" t="s">
        <v>277</v>
      </c>
      <c r="J214" s="8" t="s">
        <v>381</v>
      </c>
      <c r="K214" s="173">
        <v>1</v>
      </c>
      <c r="L214" s="10">
        <v>9900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f>+SUM(Tabla1[[#This Row],[IVA 21%]:[IVA 27%]])</f>
        <v>0</v>
      </c>
      <c r="V214" s="10">
        <f>+SUM(Tabla1[[#This Row],[Neto]:[Impuestos Internos / Otros Tributos]])</f>
        <v>9900</v>
      </c>
      <c r="W214" s="10">
        <f>+Tabla1[[#This Row],[Total]]</f>
        <v>9900</v>
      </c>
      <c r="X214" s="10"/>
      <c r="Y214" s="10" t="s">
        <v>324</v>
      </c>
      <c r="Z214" s="10"/>
      <c r="AA214" s="109"/>
      <c r="AB214" s="10">
        <v>0</v>
      </c>
      <c r="AH214" s="32">
        <f>+Tabla1[[#This Row],[Total a Pagar]]</f>
        <v>9900</v>
      </c>
      <c r="AJ214" s="188"/>
    </row>
    <row r="215" spans="1:36" ht="13.95" hidden="1" customHeight="1" x14ac:dyDescent="0.3">
      <c r="A215" s="8" t="s">
        <v>25</v>
      </c>
      <c r="B215" s="53">
        <v>45562</v>
      </c>
      <c r="C215" s="12" t="s">
        <v>26</v>
      </c>
      <c r="D215" s="8" t="s">
        <v>58</v>
      </c>
      <c r="E215" s="9" t="s">
        <v>124</v>
      </c>
      <c r="F215" s="9" t="s">
        <v>443</v>
      </c>
      <c r="G215" s="4" t="s">
        <v>126</v>
      </c>
      <c r="H215" s="4">
        <v>30716596881</v>
      </c>
      <c r="I215" s="4" t="s">
        <v>442</v>
      </c>
      <c r="J215" s="8" t="s">
        <v>381</v>
      </c>
      <c r="K215" s="173">
        <v>1</v>
      </c>
      <c r="L215" s="10">
        <v>25454.55</v>
      </c>
      <c r="M215" s="10">
        <f>+Tabla1[[#This Row],[Neto]]*21%</f>
        <v>5345.4555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f>+SUM(Tabla1[[#This Row],[IVA 21%]:[IVA 27%]])</f>
        <v>5345.4555</v>
      </c>
      <c r="V215" s="10">
        <f>+SUM(Tabla1[[#This Row],[Neto]:[Impuestos Internos / Otros Tributos]])</f>
        <v>30800.005499999999</v>
      </c>
      <c r="W215" s="39">
        <f>+Tabla1[[#This Row],[Total]]</f>
        <v>30800.005499999999</v>
      </c>
      <c r="X215" s="10">
        <v>0</v>
      </c>
      <c r="Y215" s="10" t="s">
        <v>324</v>
      </c>
      <c r="Z215" s="10"/>
      <c r="AA215" s="109"/>
      <c r="AJ215" s="188"/>
    </row>
    <row r="216" spans="1:36" ht="13.95" hidden="1" customHeight="1" x14ac:dyDescent="0.3">
      <c r="A216" s="8" t="s">
        <v>25</v>
      </c>
      <c r="B216" s="53">
        <v>45562</v>
      </c>
      <c r="C216" s="12" t="s">
        <v>26</v>
      </c>
      <c r="D216" s="8" t="s">
        <v>27</v>
      </c>
      <c r="E216" s="9" t="s">
        <v>28</v>
      </c>
      <c r="F216" s="9" t="s">
        <v>223</v>
      </c>
      <c r="G216" s="4" t="s">
        <v>224</v>
      </c>
      <c r="H216" s="4">
        <v>27376021829</v>
      </c>
      <c r="I216" s="4" t="s">
        <v>257</v>
      </c>
      <c r="J216" s="8" t="s">
        <v>381</v>
      </c>
      <c r="K216" s="173">
        <v>1</v>
      </c>
      <c r="L216" s="10">
        <v>89200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f>+SUM(Tabla1[[#This Row],[IVA 21%]:[IVA 27%]])</f>
        <v>0</v>
      </c>
      <c r="V216" s="10">
        <f>+SUM(Tabla1[[#This Row],[Neto]:[Impuestos Internos / Otros Tributos]])</f>
        <v>89200</v>
      </c>
      <c r="W216" s="10">
        <f>+Tabla1[[#This Row],[Total]]</f>
        <v>89200</v>
      </c>
      <c r="X216" s="10">
        <v>0</v>
      </c>
      <c r="Y216" s="10" t="s">
        <v>324</v>
      </c>
      <c r="Z216" s="10"/>
      <c r="AA216" s="110">
        <v>45562</v>
      </c>
      <c r="AB216" s="32">
        <f>+Tabla1[[#This Row],[Total a Pagar]]</f>
        <v>89200</v>
      </c>
      <c r="AH216" s="10">
        <v>0</v>
      </c>
      <c r="AJ216" s="188"/>
    </row>
    <row r="217" spans="1:36" ht="13.95" hidden="1" customHeight="1" x14ac:dyDescent="0.3">
      <c r="A217" s="102" t="s">
        <v>25</v>
      </c>
      <c r="B217" s="103">
        <v>45562</v>
      </c>
      <c r="C217" s="12" t="s">
        <v>26</v>
      </c>
      <c r="D217" s="8" t="s">
        <v>58</v>
      </c>
      <c r="E217" s="9" t="s">
        <v>679</v>
      </c>
      <c r="F217" s="9" t="s">
        <v>713</v>
      </c>
      <c r="G217" s="104" t="s">
        <v>681</v>
      </c>
      <c r="H217" s="4">
        <v>30711230862</v>
      </c>
      <c r="I217" s="4" t="s">
        <v>62</v>
      </c>
      <c r="J217" s="8" t="s">
        <v>381</v>
      </c>
      <c r="K217" s="173">
        <v>1</v>
      </c>
      <c r="L217" s="105">
        <v>9226.16</v>
      </c>
      <c r="M217" s="105">
        <f>+Tabla1[[#This Row],[Neto]]*21%</f>
        <v>1937.4935999999998</v>
      </c>
      <c r="N217" s="105">
        <v>0</v>
      </c>
      <c r="O217" s="105">
        <v>0</v>
      </c>
      <c r="P217" s="105">
        <v>0</v>
      </c>
      <c r="Q217" s="105">
        <v>0</v>
      </c>
      <c r="R217" s="105">
        <v>0</v>
      </c>
      <c r="S217" s="105">
        <f>+Tabla1[[#This Row],[Neto]]*3.6%</f>
        <v>332.14176000000003</v>
      </c>
      <c r="T217" s="105">
        <v>0</v>
      </c>
      <c r="U217" s="105">
        <f>+SUM(Tabla1[[#This Row],[IVA 21%]:[IVA 27%]])</f>
        <v>1937.4935999999998</v>
      </c>
      <c r="V217" s="10">
        <f>+SUM(Tabla1[[#This Row],[Neto]:[Impuestos Internos / Otros Tributos]])</f>
        <v>11495.79536</v>
      </c>
      <c r="W217" s="10">
        <f>+Tabla1[[#This Row],[Total]]</f>
        <v>11495.79536</v>
      </c>
      <c r="X217" s="105">
        <v>0</v>
      </c>
      <c r="Y217" s="49" t="s">
        <v>324</v>
      </c>
      <c r="AA217" s="117">
        <v>45562</v>
      </c>
      <c r="AB217" s="105">
        <v>0</v>
      </c>
      <c r="AC217" s="104"/>
      <c r="AD217" s="104"/>
      <c r="AE217" s="104"/>
      <c r="AF217" s="104"/>
      <c r="AG217" s="104"/>
      <c r="AH217" s="32">
        <f>+Tabla1[[#This Row],[Total a Pagar]]</f>
        <v>11495.79536</v>
      </c>
      <c r="AI217" s="104"/>
      <c r="AJ217" s="188"/>
    </row>
    <row r="218" spans="1:36" ht="13.95" hidden="1" customHeight="1" x14ac:dyDescent="0.3">
      <c r="A218" s="8" t="s">
        <v>25</v>
      </c>
      <c r="B218" s="53">
        <v>45562</v>
      </c>
      <c r="C218" s="12" t="s">
        <v>26</v>
      </c>
      <c r="D218" s="8" t="s">
        <v>58</v>
      </c>
      <c r="E218" s="9" t="s">
        <v>730</v>
      </c>
      <c r="F218" s="9" t="s">
        <v>731</v>
      </c>
      <c r="G218" s="4" t="s">
        <v>729</v>
      </c>
      <c r="H218" s="4">
        <v>20231672355</v>
      </c>
      <c r="I218" s="4" t="s">
        <v>732</v>
      </c>
      <c r="J218" s="8" t="s">
        <v>381</v>
      </c>
      <c r="K218" s="173">
        <v>1</v>
      </c>
      <c r="L218" s="10">
        <v>54056.2</v>
      </c>
      <c r="M218" s="10">
        <f>+Tabla1[[#This Row],[Neto]]*21%</f>
        <v>11351.802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f>+SUM(Tabla1[[#This Row],[IVA 21%]:[IVA 27%]])</f>
        <v>11351.802</v>
      </c>
      <c r="V218" s="10">
        <f>+SUM(Tabla1[[#This Row],[Neto]:[Impuestos Internos / Otros Tributos]])</f>
        <v>65408.001999999993</v>
      </c>
      <c r="W218" s="10">
        <f>+Tabla1[[#This Row],[Total]]</f>
        <v>65408.001999999993</v>
      </c>
      <c r="X218" s="10">
        <v>0</v>
      </c>
      <c r="Y218" s="49" t="s">
        <v>324</v>
      </c>
      <c r="AA218" s="109">
        <v>45562</v>
      </c>
      <c r="AB218" s="10">
        <v>0</v>
      </c>
      <c r="AH218" s="32">
        <f>+Tabla1[[#This Row],[Total a Pagar]]</f>
        <v>65408.001999999993</v>
      </c>
      <c r="AJ218" s="188"/>
    </row>
    <row r="219" spans="1:36" ht="13.95" hidden="1" customHeight="1" x14ac:dyDescent="0.3">
      <c r="A219" s="8" t="s">
        <v>25</v>
      </c>
      <c r="B219" s="53">
        <v>45565</v>
      </c>
      <c r="C219" s="12" t="s">
        <v>26</v>
      </c>
      <c r="D219" s="8" t="s">
        <v>58</v>
      </c>
      <c r="E219" s="9" t="s">
        <v>74</v>
      </c>
      <c r="F219" s="9" t="s">
        <v>853</v>
      </c>
      <c r="G219" s="4" t="s">
        <v>445</v>
      </c>
      <c r="H219" s="4">
        <v>30708764236</v>
      </c>
      <c r="I219" s="4" t="s">
        <v>855</v>
      </c>
      <c r="J219" s="8" t="s">
        <v>381</v>
      </c>
      <c r="K219" s="173">
        <v>1</v>
      </c>
      <c r="L219" s="10">
        <v>279242.09999999998</v>
      </c>
      <c r="M219" s="10">
        <f>+Tabla1[[#This Row],[Neto]]*21%</f>
        <v>58640.840999999993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f>+SUM(Tabla1[[#This Row],[IVA 21%]:[IVA 27%]])</f>
        <v>58640.840999999993</v>
      </c>
      <c r="V219" s="10">
        <f>+SUM(Tabla1[[#This Row],[Neto]:[Impuestos Internos / Otros Tributos]])</f>
        <v>337882.94099999999</v>
      </c>
      <c r="W219" s="10">
        <f>+Tabla1[[#This Row],[Total]]</f>
        <v>337882.94099999999</v>
      </c>
      <c r="X219" s="10">
        <f>+(Tabla1[[#This Row],[Neto]]-11200)*6%</f>
        <v>16082.525999999998</v>
      </c>
      <c r="Y219" s="10" t="s">
        <v>324</v>
      </c>
      <c r="Z219" s="10"/>
      <c r="AA219" s="109">
        <v>45607</v>
      </c>
      <c r="AB219" s="32">
        <f>+Tabla1[[#This Row],[Total a Pagar]]-Tabla1[[#This Row],[SICORE]]</f>
        <v>321800.41499999998</v>
      </c>
      <c r="AH219" s="10">
        <v>0</v>
      </c>
      <c r="AJ219" s="188" t="s">
        <v>956</v>
      </c>
    </row>
    <row r="220" spans="1:36" ht="13.95" hidden="1" customHeight="1" x14ac:dyDescent="0.3">
      <c r="A220" s="8" t="s">
        <v>25</v>
      </c>
      <c r="B220" s="53">
        <v>45565</v>
      </c>
      <c r="C220" s="12" t="s">
        <v>26</v>
      </c>
      <c r="D220" s="8" t="s">
        <v>58</v>
      </c>
      <c r="E220" s="9" t="s">
        <v>74</v>
      </c>
      <c r="F220" s="9" t="s">
        <v>854</v>
      </c>
      <c r="G220" s="4" t="s">
        <v>445</v>
      </c>
      <c r="H220" s="4">
        <v>30708764236</v>
      </c>
      <c r="I220" s="4" t="s">
        <v>446</v>
      </c>
      <c r="J220" s="8" t="s">
        <v>381</v>
      </c>
      <c r="K220" s="173">
        <v>1</v>
      </c>
      <c r="L220" s="10">
        <v>430658.24</v>
      </c>
      <c r="M220" s="10">
        <f>+Tabla1[[#This Row],[Neto]]*21%</f>
        <v>90438.2304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f>+SUM(Tabla1[[#This Row],[IVA 21%]:[IVA 27%]])</f>
        <v>90438.2304</v>
      </c>
      <c r="V220" s="10">
        <f>+SUM(Tabla1[[#This Row],[Neto]:[Impuestos Internos / Otros Tributos]])</f>
        <v>521096.47039999999</v>
      </c>
      <c r="W220" s="10">
        <f>+Tabla1[[#This Row],[Total]]</f>
        <v>521096.47039999999</v>
      </c>
      <c r="X220" s="10">
        <f>+(Tabla1[[#This Row],[Neto]]-224000)*2%</f>
        <v>4133.1647999999996</v>
      </c>
      <c r="Y220" s="10" t="s">
        <v>324</v>
      </c>
      <c r="Z220" s="10"/>
      <c r="AA220" s="109">
        <v>45607</v>
      </c>
      <c r="AB220" s="32">
        <f>+Tabla1[[#This Row],[Total a Pagar]]-Tabla1[[#This Row],[SICORE]]</f>
        <v>516963.30559999996</v>
      </c>
      <c r="AH220" s="10">
        <v>0</v>
      </c>
      <c r="AJ220" s="188" t="s">
        <v>956</v>
      </c>
    </row>
    <row r="221" spans="1:36" ht="13.95" hidden="1" customHeight="1" x14ac:dyDescent="0.3">
      <c r="A221" s="8" t="s">
        <v>25</v>
      </c>
      <c r="B221" s="53">
        <v>45565</v>
      </c>
      <c r="C221" s="12" t="s">
        <v>26</v>
      </c>
      <c r="D221" s="8" t="s">
        <v>58</v>
      </c>
      <c r="E221" s="9" t="s">
        <v>151</v>
      </c>
      <c r="F221" s="9" t="s">
        <v>449</v>
      </c>
      <c r="G221" s="4" t="s">
        <v>349</v>
      </c>
      <c r="H221" s="4">
        <v>30663625485</v>
      </c>
      <c r="I221" s="4" t="s">
        <v>862</v>
      </c>
      <c r="J221" s="8" t="s">
        <v>381</v>
      </c>
      <c r="K221" s="173">
        <v>1</v>
      </c>
      <c r="L221" s="10">
        <v>1574771.6</v>
      </c>
      <c r="M221" s="10">
        <f>+Tabla1[[#This Row],[Neto]]*21%</f>
        <v>330702.03600000002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f>+SUM(Tabla1[[#This Row],[IVA 21%]:[IVA 27%]])</f>
        <v>330702.03600000002</v>
      </c>
      <c r="V221" s="10">
        <f>+SUM(Tabla1[[#This Row],[Neto]:[Impuestos Internos / Otros Tributos]])</f>
        <v>1905473.6360000002</v>
      </c>
      <c r="W221" s="10">
        <f>+Tabla1[[#This Row],[Total]]</f>
        <v>1905473.6360000002</v>
      </c>
      <c r="X221" s="10">
        <f>+(Tabla1[[#This Row],[Neto]]-67170)*2%</f>
        <v>30152.032000000003</v>
      </c>
      <c r="Y221" s="10" t="s">
        <v>324</v>
      </c>
      <c r="Z221" s="10"/>
      <c r="AA221" s="109">
        <v>45607</v>
      </c>
      <c r="AB221" s="32">
        <f>+Tabla1[[#This Row],[Total a Pagar]]-Tabla1[[#This Row],[SICORE]]</f>
        <v>1875321.6040000003</v>
      </c>
      <c r="AH221" s="10">
        <v>0</v>
      </c>
      <c r="AJ221" s="188"/>
    </row>
    <row r="222" spans="1:36" ht="13.95" hidden="1" customHeight="1" x14ac:dyDescent="0.3">
      <c r="A222" s="8" t="s">
        <v>25</v>
      </c>
      <c r="B222" s="53">
        <v>45565</v>
      </c>
      <c r="C222" s="12" t="s">
        <v>26</v>
      </c>
      <c r="D222" s="8" t="s">
        <v>58</v>
      </c>
      <c r="E222" s="9" t="s">
        <v>28</v>
      </c>
      <c r="F222" s="9" t="s">
        <v>253</v>
      </c>
      <c r="G222" s="4" t="s">
        <v>284</v>
      </c>
      <c r="H222" s="4">
        <v>27339701712</v>
      </c>
      <c r="I222" s="4" t="s">
        <v>573</v>
      </c>
      <c r="J222" s="8" t="s">
        <v>381</v>
      </c>
      <c r="K222" s="173">
        <v>1</v>
      </c>
      <c r="L222" s="10">
        <v>435600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f>+SUM(Tabla1[[#This Row],[IVA 21%]:[IVA 27%]])</f>
        <v>0</v>
      </c>
      <c r="V222" s="10">
        <f>+SUM(Tabla1[[#This Row],[Neto]:[Impuestos Internos / Otros Tributos]])</f>
        <v>435600</v>
      </c>
      <c r="W222" s="10">
        <f>+Tabla1[[#This Row],[Total]]</f>
        <v>435600</v>
      </c>
      <c r="X222" s="10">
        <v>0</v>
      </c>
      <c r="Y222" s="10" t="s">
        <v>324</v>
      </c>
      <c r="Z222" s="10"/>
      <c r="AA222" s="109">
        <v>45567</v>
      </c>
      <c r="AB222" s="76">
        <f>+Tabla1[[#This Row],[Total a Pagar]]</f>
        <v>435600</v>
      </c>
      <c r="AH222" s="10">
        <v>0</v>
      </c>
      <c r="AJ222" s="188"/>
    </row>
    <row r="223" spans="1:36" ht="13.95" hidden="1" customHeight="1" x14ac:dyDescent="0.3">
      <c r="A223" s="8" t="s">
        <v>25</v>
      </c>
      <c r="B223" s="53">
        <v>45565</v>
      </c>
      <c r="C223" s="12" t="s">
        <v>26</v>
      </c>
      <c r="D223" s="8" t="s">
        <v>58</v>
      </c>
      <c r="E223" s="9" t="s">
        <v>74</v>
      </c>
      <c r="F223" s="9" t="s">
        <v>461</v>
      </c>
      <c r="G223" s="4" t="s">
        <v>445</v>
      </c>
      <c r="H223" s="4">
        <v>30708764236</v>
      </c>
      <c r="I223" s="4" t="s">
        <v>446</v>
      </c>
      <c r="J223" s="8" t="s">
        <v>381</v>
      </c>
      <c r="K223" s="173">
        <v>1</v>
      </c>
      <c r="L223" s="10">
        <v>861316.47</v>
      </c>
      <c r="M223" s="10">
        <f>+Tabla1[[#This Row],[Neto]]*21%</f>
        <v>180876.45869999999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f>+SUM(Tabla1[[#This Row],[IVA 21%]:[IVA 27%]])</f>
        <v>180876.45869999999</v>
      </c>
      <c r="V223" s="10">
        <f>+SUM(Tabla1[[#This Row],[Neto]:[Impuestos Internos / Otros Tributos]])</f>
        <v>1042192.9286999999</v>
      </c>
      <c r="W223" s="10">
        <f>+Tabla1[[#This Row],[Total]]</f>
        <v>1042192.9286999999</v>
      </c>
      <c r="X223" s="10">
        <f>+Tabla1[[#This Row],[Neto]]*2%</f>
        <v>17226.329399999999</v>
      </c>
      <c r="Y223" s="10" t="s">
        <v>324</v>
      </c>
      <c r="Z223" s="10"/>
      <c r="AA223" s="109">
        <v>45607</v>
      </c>
      <c r="AB223" s="32">
        <f>+Tabla1[[#This Row],[Total a Pagar]]-Tabla1[[#This Row],[SICORE]]</f>
        <v>1024966.5992999999</v>
      </c>
      <c r="AH223" s="10">
        <v>0</v>
      </c>
      <c r="AJ223" s="188" t="s">
        <v>956</v>
      </c>
    </row>
    <row r="224" spans="1:36" ht="13.95" hidden="1" customHeight="1" x14ac:dyDescent="0.3">
      <c r="A224" s="8" t="s">
        <v>25</v>
      </c>
      <c r="B224" s="53">
        <v>45565</v>
      </c>
      <c r="C224" s="12" t="s">
        <v>26</v>
      </c>
      <c r="D224" s="8" t="s">
        <v>58</v>
      </c>
      <c r="E224" s="9" t="s">
        <v>74</v>
      </c>
      <c r="F224" s="9" t="s">
        <v>459</v>
      </c>
      <c r="G224" s="4" t="s">
        <v>445</v>
      </c>
      <c r="H224" s="4">
        <v>30708764236</v>
      </c>
      <c r="I224" s="4" t="s">
        <v>446</v>
      </c>
      <c r="J224" s="8" t="s">
        <v>381</v>
      </c>
      <c r="K224" s="173">
        <v>1</v>
      </c>
      <c r="L224" s="10">
        <v>430658.24</v>
      </c>
      <c r="M224" s="10">
        <f>+Tabla1[[#This Row],[Neto]]*21%</f>
        <v>90438.2304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f>+SUM(Tabla1[[#This Row],[IVA 21%]:[IVA 27%]])</f>
        <v>90438.2304</v>
      </c>
      <c r="V224" s="10">
        <f>+SUM(Tabla1[[#This Row],[Neto]:[Impuestos Internos / Otros Tributos]])</f>
        <v>521096.47039999999</v>
      </c>
      <c r="W224" s="10">
        <f>+Tabla1[[#This Row],[Total]]</f>
        <v>521096.47039999999</v>
      </c>
      <c r="X224" s="10">
        <f>+Tabla1[[#This Row],[Neto]]*2%</f>
        <v>8613.1648000000005</v>
      </c>
      <c r="Y224" s="10" t="s">
        <v>324</v>
      </c>
      <c r="Z224" s="10"/>
      <c r="AA224" s="109">
        <v>45607</v>
      </c>
      <c r="AB224" s="32">
        <f>+Tabla1[[#This Row],[Total a Pagar]]-Tabla1[[#This Row],[SICORE]]</f>
        <v>512483.30559999996</v>
      </c>
      <c r="AH224" s="10">
        <v>0</v>
      </c>
      <c r="AJ224" s="188" t="s">
        <v>956</v>
      </c>
    </row>
    <row r="225" spans="1:36" ht="13.95" hidden="1" customHeight="1" x14ac:dyDescent="0.3">
      <c r="A225" s="8" t="s">
        <v>25</v>
      </c>
      <c r="B225" s="53">
        <v>45565</v>
      </c>
      <c r="C225" s="12" t="s">
        <v>26</v>
      </c>
      <c r="D225" s="8" t="s">
        <v>58</v>
      </c>
      <c r="E225" s="9" t="s">
        <v>74</v>
      </c>
      <c r="F225" s="9" t="s">
        <v>460</v>
      </c>
      <c r="G225" s="4" t="s">
        <v>445</v>
      </c>
      <c r="H225" s="4">
        <v>30708764236</v>
      </c>
      <c r="I225" s="4" t="s">
        <v>446</v>
      </c>
      <c r="J225" s="8" t="s">
        <v>381</v>
      </c>
      <c r="K225" s="173">
        <v>1</v>
      </c>
      <c r="L225" s="10">
        <v>1722632.95</v>
      </c>
      <c r="M225" s="10">
        <f>+Tabla1[[#This Row],[Neto]]*21%</f>
        <v>361752.91949999996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f>+SUM(Tabla1[[#This Row],[IVA 21%]:[IVA 27%]])</f>
        <v>361752.91949999996</v>
      </c>
      <c r="V225" s="10">
        <f>+SUM(Tabla1[[#This Row],[Neto]:[Impuestos Internos / Otros Tributos]])</f>
        <v>2084385.8695</v>
      </c>
      <c r="W225" s="10">
        <f>+Tabla1[[#This Row],[Total]]</f>
        <v>2084385.8695</v>
      </c>
      <c r="X225" s="10">
        <f>+Tabla1[[#This Row],[Neto]]*2%</f>
        <v>34452.659</v>
      </c>
      <c r="Y225" s="10" t="s">
        <v>324</v>
      </c>
      <c r="Z225" s="10"/>
      <c r="AA225" s="109">
        <v>45607</v>
      </c>
      <c r="AB225" s="32">
        <f>+Tabla1[[#This Row],[Total a Pagar]]-Tabla1[[#This Row],[SICORE]]</f>
        <v>2049933.2105</v>
      </c>
      <c r="AH225" s="10">
        <v>0</v>
      </c>
      <c r="AJ225" s="188" t="s">
        <v>956</v>
      </c>
    </row>
    <row r="226" spans="1:36" ht="13.95" hidden="1" customHeight="1" x14ac:dyDescent="0.3">
      <c r="A226" s="8" t="s">
        <v>25</v>
      </c>
      <c r="B226" s="53">
        <v>45565</v>
      </c>
      <c r="C226" s="12" t="s">
        <v>26</v>
      </c>
      <c r="D226" s="8" t="s">
        <v>58</v>
      </c>
      <c r="E226" s="9" t="s">
        <v>74</v>
      </c>
      <c r="F226" s="9" t="s">
        <v>458</v>
      </c>
      <c r="G226" s="4" t="s">
        <v>445</v>
      </c>
      <c r="H226" s="4">
        <v>30708764236</v>
      </c>
      <c r="I226" s="4" t="s">
        <v>446</v>
      </c>
      <c r="J226" s="8" t="s">
        <v>381</v>
      </c>
      <c r="K226" s="173">
        <v>1</v>
      </c>
      <c r="L226" s="10">
        <v>430658.24</v>
      </c>
      <c r="M226" s="10">
        <f>+Tabla1[[#This Row],[Neto]]*21%</f>
        <v>90438.2304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f>+SUM(Tabla1[[#This Row],[IVA 21%]:[IVA 27%]])</f>
        <v>90438.2304</v>
      </c>
      <c r="V226" s="10">
        <f>+SUM(Tabla1[[#This Row],[Neto]:[Impuestos Internos / Otros Tributos]])</f>
        <v>521096.47039999999</v>
      </c>
      <c r="W226" s="10">
        <f>+Tabla1[[#This Row],[Total]]</f>
        <v>521096.47039999999</v>
      </c>
      <c r="X226" s="10">
        <f>+Tabla1[[#This Row],[Neto]]*2%</f>
        <v>8613.1648000000005</v>
      </c>
      <c r="Y226" s="10" t="s">
        <v>324</v>
      </c>
      <c r="Z226" s="10"/>
      <c r="AA226" s="109">
        <v>45607</v>
      </c>
      <c r="AB226" s="32">
        <f>+Tabla1[[#This Row],[Total a Pagar]]-Tabla1[[#This Row],[SICORE]]</f>
        <v>512483.30559999996</v>
      </c>
      <c r="AH226" s="10">
        <v>0</v>
      </c>
      <c r="AJ226" s="188" t="s">
        <v>956</v>
      </c>
    </row>
    <row r="227" spans="1:36" ht="13.95" hidden="1" customHeight="1" x14ac:dyDescent="0.3">
      <c r="A227" s="8" t="s">
        <v>25</v>
      </c>
      <c r="B227" s="53">
        <v>45565</v>
      </c>
      <c r="C227" s="12" t="s">
        <v>26</v>
      </c>
      <c r="D227" s="8" t="s">
        <v>58</v>
      </c>
      <c r="E227" s="9" t="s">
        <v>74</v>
      </c>
      <c r="F227" s="9" t="s">
        <v>457</v>
      </c>
      <c r="G227" s="4" t="s">
        <v>445</v>
      </c>
      <c r="H227" s="4">
        <v>30708764236</v>
      </c>
      <c r="I227" s="4" t="s">
        <v>446</v>
      </c>
      <c r="J227" s="8" t="s">
        <v>381</v>
      </c>
      <c r="K227" s="173">
        <v>1</v>
      </c>
      <c r="L227" s="10">
        <v>1291974.72</v>
      </c>
      <c r="M227" s="10">
        <f>+Tabla1[[#This Row],[Neto]]*21%</f>
        <v>271314.6912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f>+SUM(Tabla1[[#This Row],[IVA 21%]:[IVA 27%]])</f>
        <v>271314.6912</v>
      </c>
      <c r="V227" s="10">
        <f>+SUM(Tabla1[[#This Row],[Neto]:[Impuestos Internos / Otros Tributos]])</f>
        <v>1563289.4112</v>
      </c>
      <c r="W227" s="10">
        <f>+Tabla1[[#This Row],[Total]]</f>
        <v>1563289.4112</v>
      </c>
      <c r="X227" s="10">
        <f>+Tabla1[[#This Row],[Neto]]*2%</f>
        <v>25839.4944</v>
      </c>
      <c r="Y227" s="10" t="s">
        <v>324</v>
      </c>
      <c r="Z227" s="10"/>
      <c r="AA227" s="109">
        <v>45607</v>
      </c>
      <c r="AB227" s="32">
        <f>+Tabla1[[#This Row],[Total a Pagar]]-Tabla1[[#This Row],[SICORE]]</f>
        <v>1537449.9168</v>
      </c>
      <c r="AH227" s="10">
        <v>0</v>
      </c>
      <c r="AJ227" s="188" t="s">
        <v>956</v>
      </c>
    </row>
    <row r="228" spans="1:36" ht="13.95" hidden="1" customHeight="1" x14ac:dyDescent="0.3">
      <c r="A228" s="36" t="s">
        <v>25</v>
      </c>
      <c r="B228" s="55">
        <v>45565</v>
      </c>
      <c r="C228" s="37" t="s">
        <v>454</v>
      </c>
      <c r="D228" s="8" t="s">
        <v>58</v>
      </c>
      <c r="E228" s="9" t="s">
        <v>340</v>
      </c>
      <c r="F228" s="9" t="s">
        <v>455</v>
      </c>
      <c r="G228" s="4" t="s">
        <v>424</v>
      </c>
      <c r="H228" s="4">
        <v>30604958640</v>
      </c>
      <c r="I228" s="38" t="s">
        <v>456</v>
      </c>
      <c r="J228" s="36" t="s">
        <v>381</v>
      </c>
      <c r="K228" s="173">
        <v>1</v>
      </c>
      <c r="L228" s="39">
        <v>413449.81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/>
      <c r="T228" s="39">
        <v>0</v>
      </c>
      <c r="U228" s="39">
        <f>+SUM(Tabla1[[#This Row],[IVA 21%]:[IVA 27%]])</f>
        <v>0</v>
      </c>
      <c r="V228" s="10">
        <f>+SUM(Tabla1[[#This Row],[Neto]:[Impuestos Internos / Otros Tributos]])</f>
        <v>413449.81</v>
      </c>
      <c r="W228" s="39">
        <f>+Tabla1[[#This Row],[Total]]</f>
        <v>413449.81</v>
      </c>
      <c r="X228" s="39">
        <v>0</v>
      </c>
      <c r="Y228" s="38"/>
      <c r="Z228" s="38"/>
      <c r="AA228" s="107"/>
      <c r="AB228" s="39"/>
      <c r="AC228" s="38"/>
      <c r="AD228" s="38"/>
      <c r="AE228" s="38"/>
      <c r="AF228" s="38"/>
      <c r="AG228" s="38"/>
      <c r="AH228" s="39"/>
      <c r="AI228" s="38"/>
      <c r="AJ228" s="188"/>
    </row>
    <row r="229" spans="1:36" ht="13.95" hidden="1" customHeight="1" x14ac:dyDescent="0.3">
      <c r="A229" s="36" t="s">
        <v>25</v>
      </c>
      <c r="B229" s="55">
        <v>45565</v>
      </c>
      <c r="C229" s="37" t="s">
        <v>410</v>
      </c>
      <c r="D229" s="36" t="s">
        <v>58</v>
      </c>
      <c r="E229" s="45" t="s">
        <v>340</v>
      </c>
      <c r="F229" s="45" t="s">
        <v>462</v>
      </c>
      <c r="G229" s="38" t="s">
        <v>424</v>
      </c>
      <c r="H229" s="38">
        <v>30604958640</v>
      </c>
      <c r="I229" s="38" t="s">
        <v>425</v>
      </c>
      <c r="J229" s="36" t="s">
        <v>381</v>
      </c>
      <c r="K229" s="173">
        <v>1</v>
      </c>
      <c r="L229" s="39">
        <v>0</v>
      </c>
      <c r="M229" s="39">
        <v>0</v>
      </c>
      <c r="N229" s="39">
        <v>0</v>
      </c>
      <c r="O229" s="39">
        <v>0</v>
      </c>
      <c r="P229" s="39">
        <v>0</v>
      </c>
      <c r="Q229" s="39">
        <v>471962.94</v>
      </c>
      <c r="R229" s="39">
        <v>0</v>
      </c>
      <c r="S229" s="39">
        <v>0</v>
      </c>
      <c r="T229" s="39">
        <v>0</v>
      </c>
      <c r="U229" s="39">
        <f>+SUM(Tabla1[[#This Row],[IVA 21%]:[IVA 27%]])</f>
        <v>0</v>
      </c>
      <c r="V229" s="10">
        <f>+SUM(Tabla1[[#This Row],[Neto]:[Impuestos Internos / Otros Tributos]])</f>
        <v>471962.94</v>
      </c>
      <c r="W229" s="39">
        <f>+Tabla1[[#This Row],[Total]]</f>
        <v>471962.94</v>
      </c>
      <c r="X229" s="39">
        <v>0</v>
      </c>
      <c r="Y229" s="38"/>
      <c r="Z229" s="38"/>
      <c r="AA229" s="107"/>
      <c r="AB229" s="39"/>
      <c r="AC229" s="38"/>
      <c r="AD229" s="38"/>
      <c r="AE229" s="38"/>
      <c r="AF229" s="38"/>
      <c r="AG229" s="38"/>
      <c r="AH229" s="39"/>
      <c r="AI229" s="38"/>
      <c r="AJ229" s="188"/>
    </row>
    <row r="230" spans="1:36" ht="13.95" hidden="1" customHeight="1" x14ac:dyDescent="0.3">
      <c r="A230" s="8" t="s">
        <v>25</v>
      </c>
      <c r="B230" s="53">
        <v>45565</v>
      </c>
      <c r="C230" s="80" t="s">
        <v>26</v>
      </c>
      <c r="D230" s="78" t="s">
        <v>403</v>
      </c>
      <c r="E230" s="9" t="s">
        <v>28</v>
      </c>
      <c r="F230" s="9" t="s">
        <v>742</v>
      </c>
      <c r="G230" s="81" t="s">
        <v>406</v>
      </c>
      <c r="H230" s="4">
        <v>30111111111</v>
      </c>
      <c r="I230" s="81" t="s">
        <v>629</v>
      </c>
      <c r="J230" s="78" t="s">
        <v>381</v>
      </c>
      <c r="K230" s="173">
        <v>1</v>
      </c>
      <c r="L230" s="10">
        <v>17580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f>+SUM(Tabla1[[#This Row],[IVA 21%]:[IVA 27%]])</f>
        <v>0</v>
      </c>
      <c r="V230" s="10">
        <f>+SUM(Tabla1[[#This Row],[Neto]:[Impuestos Internos / Otros Tributos]])</f>
        <v>17580</v>
      </c>
      <c r="W230" s="10">
        <f>+Tabla1[[#This Row],[Total]]</f>
        <v>17580</v>
      </c>
      <c r="X230" s="10">
        <v>0</v>
      </c>
      <c r="Y230" s="49" t="s">
        <v>324</v>
      </c>
      <c r="AA230" s="109">
        <v>45565</v>
      </c>
      <c r="AB230" s="10">
        <v>0</v>
      </c>
      <c r="AH230" s="32">
        <f>+Tabla1[[#This Row],[Total a Pagar]]</f>
        <v>17580</v>
      </c>
      <c r="AJ230" s="188"/>
    </row>
    <row r="231" spans="1:36" ht="13.95" hidden="1" customHeight="1" x14ac:dyDescent="0.3">
      <c r="A231" s="8" t="s">
        <v>25</v>
      </c>
      <c r="B231" s="53">
        <v>45565</v>
      </c>
      <c r="C231" s="12" t="s">
        <v>641</v>
      </c>
      <c r="D231" s="8"/>
      <c r="E231" s="8"/>
      <c r="F231" s="9" t="s">
        <v>742</v>
      </c>
      <c r="G231" s="4" t="s">
        <v>465</v>
      </c>
      <c r="I231" s="4" t="s">
        <v>778</v>
      </c>
      <c r="J231" s="8" t="s">
        <v>381</v>
      </c>
      <c r="K231" s="173">
        <v>1</v>
      </c>
      <c r="L231" s="10">
        <f>52500+35000+54000</f>
        <v>141500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f>+SUM(Tabla1[[#This Row],[IVA 21%]:[IVA 27%]])</f>
        <v>0</v>
      </c>
      <c r="V231" s="10">
        <f>+SUM(Tabla1[[#This Row],[Neto]:[Impuestos Internos / Otros Tributos]])</f>
        <v>141500</v>
      </c>
      <c r="W231" s="39">
        <f>+Tabla1[[#This Row],[Total]]</f>
        <v>141500</v>
      </c>
      <c r="X231" s="10">
        <v>0</v>
      </c>
      <c r="Y231" s="49" t="s">
        <v>324</v>
      </c>
      <c r="AA231" s="109">
        <v>45565</v>
      </c>
      <c r="AB231" s="10">
        <v>0</v>
      </c>
      <c r="AH231" s="32">
        <f>+Tabla1[[#This Row],[Total a Pagar]]</f>
        <v>141500</v>
      </c>
      <c r="AJ231" s="188"/>
    </row>
    <row r="232" spans="1:36" ht="13.95" hidden="1" customHeight="1" x14ac:dyDescent="0.3">
      <c r="A232" s="8" t="s">
        <v>337</v>
      </c>
      <c r="B232" s="53">
        <v>45566</v>
      </c>
      <c r="C232" s="12" t="s">
        <v>26</v>
      </c>
      <c r="D232" s="8" t="s">
        <v>58</v>
      </c>
      <c r="E232" s="9" t="s">
        <v>32</v>
      </c>
      <c r="F232" s="9" t="s">
        <v>338</v>
      </c>
      <c r="G232" s="4" t="s">
        <v>282</v>
      </c>
      <c r="H232" s="4">
        <v>30714721301</v>
      </c>
      <c r="I232" s="4" t="s">
        <v>339</v>
      </c>
      <c r="J232" s="8" t="s">
        <v>381</v>
      </c>
      <c r="K232" s="173">
        <v>1</v>
      </c>
      <c r="L232" s="10">
        <v>1186499.1000000001</v>
      </c>
      <c r="M232" s="10">
        <f>+Tabla1[[#This Row],[Neto]]*21%</f>
        <v>249164.81100000002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f>+Tabla1[[#This Row],[Neto]]*3.6%</f>
        <v>42713.967600000011</v>
      </c>
      <c r="T232" s="10">
        <v>0</v>
      </c>
      <c r="U232" s="10">
        <f>+SUM(Tabla1[[#This Row],[IVA 21%]:[IVA 27%]])</f>
        <v>249164.81100000002</v>
      </c>
      <c r="V232" s="10">
        <f>+SUM(Tabla1[[#This Row],[Neto]:[Impuestos Internos / Otros Tributos]])</f>
        <v>1478377.8786000002</v>
      </c>
      <c r="W232" s="10">
        <f>+Tabla1[[#This Row],[Total]]</f>
        <v>1478377.8786000002</v>
      </c>
      <c r="X232" s="10"/>
      <c r="Y232" s="10" t="s">
        <v>324</v>
      </c>
      <c r="Z232" s="10"/>
      <c r="AA232" s="109">
        <v>45635</v>
      </c>
      <c r="AC232" s="10"/>
      <c r="AD232" s="10"/>
      <c r="AE232" s="10"/>
      <c r="AF232" s="10"/>
      <c r="AG232" s="10"/>
      <c r="AH232" s="10">
        <v>0</v>
      </c>
      <c r="AI232" s="10"/>
      <c r="AJ232" s="188"/>
    </row>
    <row r="233" spans="1:36" ht="13.95" hidden="1" customHeight="1" x14ac:dyDescent="0.3">
      <c r="A233" s="8" t="s">
        <v>337</v>
      </c>
      <c r="B233" s="53">
        <v>45566</v>
      </c>
      <c r="C233" s="12" t="s">
        <v>26</v>
      </c>
      <c r="D233" s="8" t="s">
        <v>58</v>
      </c>
      <c r="E233" s="9" t="s">
        <v>340</v>
      </c>
      <c r="F233" s="9" t="s">
        <v>341</v>
      </c>
      <c r="G233" s="4" t="s">
        <v>342</v>
      </c>
      <c r="H233" s="4">
        <v>30681330301</v>
      </c>
      <c r="I233" s="4" t="s">
        <v>438</v>
      </c>
      <c r="J233" s="8" t="s">
        <v>381</v>
      </c>
      <c r="K233" s="173">
        <v>1</v>
      </c>
      <c r="L233" s="10">
        <v>53876.72</v>
      </c>
      <c r="M233" s="10">
        <f>+Tabla1[[#This Row],[Neto]]*21%</f>
        <v>11314.111199999999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f>+SUM(Tabla1[[#This Row],[IVA 21%]:[IVA 27%]])</f>
        <v>11314.111199999999</v>
      </c>
      <c r="V233" s="10">
        <f>+SUM(Tabla1[[#This Row],[Neto]:[Impuestos Internos / Otros Tributos]])</f>
        <v>65190.831200000001</v>
      </c>
      <c r="W233" s="10">
        <f>+Tabla1[[#This Row],[Total]]</f>
        <v>65190.831200000001</v>
      </c>
      <c r="X233" s="10">
        <v>0</v>
      </c>
      <c r="Y233" s="10" t="s">
        <v>324</v>
      </c>
      <c r="Z233" s="10"/>
      <c r="AA233" s="109">
        <v>45573</v>
      </c>
      <c r="AB233" s="32">
        <f>+Tabla1[[#This Row],[Total a Pagar]]</f>
        <v>65190.831200000001</v>
      </c>
      <c r="AC233" s="10"/>
      <c r="AD233" s="10"/>
      <c r="AE233" s="10"/>
      <c r="AF233" s="10"/>
      <c r="AG233" s="10"/>
      <c r="AH233" s="10">
        <v>0</v>
      </c>
      <c r="AI233" s="10"/>
      <c r="AJ233" s="188"/>
    </row>
    <row r="234" spans="1:36" ht="13.95" hidden="1" customHeight="1" x14ac:dyDescent="0.3">
      <c r="A234" s="8" t="s">
        <v>337</v>
      </c>
      <c r="B234" s="53">
        <v>45566</v>
      </c>
      <c r="C234" s="12" t="s">
        <v>26</v>
      </c>
      <c r="D234" s="8" t="s">
        <v>58</v>
      </c>
      <c r="E234" s="9" t="s">
        <v>37</v>
      </c>
      <c r="F234" s="9" t="s">
        <v>343</v>
      </c>
      <c r="G234" s="4" t="s">
        <v>155</v>
      </c>
      <c r="H234" s="4">
        <v>30715721461</v>
      </c>
      <c r="I234" s="4" t="s">
        <v>344</v>
      </c>
      <c r="J234" s="8" t="s">
        <v>381</v>
      </c>
      <c r="K234" s="173">
        <v>1</v>
      </c>
      <c r="L234" s="10">
        <v>51000</v>
      </c>
      <c r="M234" s="10">
        <f>+Tabla1[[#This Row],[Neto]]*21%</f>
        <v>10710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f>+SUM(Tabla1[[#This Row],[IVA 21%]:[IVA 27%]])</f>
        <v>10710</v>
      </c>
      <c r="V234" s="10">
        <f>+SUM(Tabla1[[#This Row],[Neto]:[Impuestos Internos / Otros Tributos]])</f>
        <v>61710</v>
      </c>
      <c r="W234" s="10">
        <f>+Tabla1[[#This Row],[Total]]</f>
        <v>61710</v>
      </c>
      <c r="X234" s="10">
        <v>0</v>
      </c>
      <c r="Y234" s="10" t="s">
        <v>324</v>
      </c>
      <c r="Z234" s="10"/>
      <c r="AA234" s="109">
        <v>45570</v>
      </c>
      <c r="AB234" s="32">
        <f>+Tabla1[[#This Row],[Total a Pagar]]</f>
        <v>61710</v>
      </c>
      <c r="AC234" s="10"/>
      <c r="AD234" s="10"/>
      <c r="AE234" s="10"/>
      <c r="AF234" s="10"/>
      <c r="AG234" s="10"/>
      <c r="AH234" s="10">
        <v>0</v>
      </c>
      <c r="AI234" s="10"/>
      <c r="AJ234" s="188"/>
    </row>
    <row r="235" spans="1:36" hidden="1" x14ac:dyDescent="0.3">
      <c r="A235" s="8" t="s">
        <v>337</v>
      </c>
      <c r="B235" s="53">
        <v>45566</v>
      </c>
      <c r="C235" s="12" t="s">
        <v>26</v>
      </c>
      <c r="D235" s="8" t="s">
        <v>27</v>
      </c>
      <c r="E235" s="9" t="s">
        <v>37</v>
      </c>
      <c r="F235" s="9" t="s">
        <v>345</v>
      </c>
      <c r="G235" s="4" t="s">
        <v>320</v>
      </c>
      <c r="H235" s="4">
        <v>20222549788</v>
      </c>
      <c r="I235" s="4" t="s">
        <v>346</v>
      </c>
      <c r="J235" s="8" t="s">
        <v>381</v>
      </c>
      <c r="K235" s="173">
        <v>1</v>
      </c>
      <c r="L235" s="10">
        <v>251779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f>+SUM(Tabla1[[#This Row],[IVA 21%]:[IVA 27%]])</f>
        <v>0</v>
      </c>
      <c r="V235" s="10">
        <f>+SUM(Tabla1[[#This Row],[Neto]:[Impuestos Internos / Otros Tributos]])</f>
        <v>251779</v>
      </c>
      <c r="W235" s="10">
        <f>+Tabla1[[#This Row],[Total]]</f>
        <v>251779</v>
      </c>
      <c r="X235" s="10">
        <v>0</v>
      </c>
      <c r="Y235" s="10" t="s">
        <v>324</v>
      </c>
      <c r="Z235" s="10"/>
      <c r="AA235" s="109">
        <v>45568</v>
      </c>
      <c r="AB235" s="32">
        <f>+Tabla1[[#This Row],[Total a Pagar]]</f>
        <v>251779</v>
      </c>
      <c r="AC235" s="10"/>
      <c r="AD235" s="10"/>
      <c r="AE235" s="10"/>
      <c r="AF235" s="10"/>
      <c r="AG235" s="10"/>
      <c r="AH235" s="10">
        <v>0</v>
      </c>
      <c r="AI235" s="10"/>
      <c r="AJ235" s="188"/>
    </row>
    <row r="236" spans="1:36" hidden="1" x14ac:dyDescent="0.3">
      <c r="A236" s="8" t="s">
        <v>337</v>
      </c>
      <c r="B236" s="53">
        <v>45566</v>
      </c>
      <c r="C236" s="12" t="s">
        <v>26</v>
      </c>
      <c r="D236" s="8" t="s">
        <v>58</v>
      </c>
      <c r="E236" s="9" t="s">
        <v>151</v>
      </c>
      <c r="F236" s="9" t="s">
        <v>361</v>
      </c>
      <c r="G236" s="4" t="s">
        <v>153</v>
      </c>
      <c r="H236" s="4">
        <v>20233929035</v>
      </c>
      <c r="I236" s="4" t="s">
        <v>87</v>
      </c>
      <c r="J236" s="8" t="s">
        <v>381</v>
      </c>
      <c r="K236" s="173">
        <v>1</v>
      </c>
      <c r="L236" s="10">
        <v>341815.6</v>
      </c>
      <c r="M236" s="10">
        <f>+Tabla1[[#This Row],[Neto]]*21%</f>
        <v>71781.275999999998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f>+SUM(Tabla1[[#This Row],[IVA 21%]:[IVA 27%]])</f>
        <v>71781.275999999998</v>
      </c>
      <c r="V236" s="10">
        <f>+SUM(Tabla1[[#This Row],[Neto]:[Impuestos Internos / Otros Tributos]])</f>
        <v>413596.87599999999</v>
      </c>
      <c r="W236" s="10">
        <f>+Tabla1[[#This Row],[Total]]</f>
        <v>413596.87599999999</v>
      </c>
      <c r="X236" s="10">
        <f>+(Tabla1[[#This Row],[Neto]]-3021.67)*2%</f>
        <v>6775.8786</v>
      </c>
      <c r="Y236" s="10" t="s">
        <v>325</v>
      </c>
      <c r="Z236" s="10"/>
      <c r="AA236" s="109">
        <v>45608</v>
      </c>
      <c r="AB236" s="10">
        <f>+Tabla1[[#This Row],[Total a Pagar]]-Tabla1[[#This Row],[SICORE]]</f>
        <v>406820.99739999999</v>
      </c>
      <c r="AJ236" s="188"/>
    </row>
    <row r="237" spans="1:36" hidden="1" x14ac:dyDescent="0.3">
      <c r="A237" s="8" t="s">
        <v>337</v>
      </c>
      <c r="B237" s="53">
        <v>45566</v>
      </c>
      <c r="C237" s="12" t="s">
        <v>26</v>
      </c>
      <c r="D237" s="8" t="s">
        <v>27</v>
      </c>
      <c r="E237" s="9" t="s">
        <v>28</v>
      </c>
      <c r="F237" s="9" t="s">
        <v>253</v>
      </c>
      <c r="G237" s="4" t="s">
        <v>366</v>
      </c>
      <c r="H237" s="4">
        <v>20283782280</v>
      </c>
      <c r="I237" s="4" t="s">
        <v>416</v>
      </c>
      <c r="J237" s="8" t="s">
        <v>381</v>
      </c>
      <c r="K237" s="173">
        <v>1</v>
      </c>
      <c r="L237" s="10">
        <v>285000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f>+SUM(Tabla1[[#This Row],[IVA 21%]:[IVA 27%]])</f>
        <v>0</v>
      </c>
      <c r="V237" s="10">
        <f>+SUM(Tabla1[[#This Row],[Neto]:[Impuestos Internos / Otros Tributos]])</f>
        <v>285000</v>
      </c>
      <c r="W237" s="10">
        <f>+Tabla1[[#This Row],[Total]]</f>
        <v>285000</v>
      </c>
      <c r="X237" s="10">
        <v>0</v>
      </c>
      <c r="Y237" s="14" t="s">
        <v>324</v>
      </c>
      <c r="Z237" s="14"/>
      <c r="AA237" s="109">
        <v>45573</v>
      </c>
      <c r="AB237" s="32">
        <f>+Tabla1[[#This Row],[Total a Pagar]]</f>
        <v>285000</v>
      </c>
      <c r="AH237" s="10">
        <v>0</v>
      </c>
      <c r="AJ237" s="188"/>
    </row>
    <row r="238" spans="1:36" hidden="1" x14ac:dyDescent="0.3">
      <c r="A238" s="8" t="s">
        <v>337</v>
      </c>
      <c r="B238" s="53">
        <v>45566</v>
      </c>
      <c r="C238" s="12" t="s">
        <v>410</v>
      </c>
      <c r="D238" s="8" t="s">
        <v>58</v>
      </c>
      <c r="E238" s="9" t="s">
        <v>74</v>
      </c>
      <c r="F238" s="9" t="s">
        <v>426</v>
      </c>
      <c r="G238" s="4" t="s">
        <v>427</v>
      </c>
      <c r="H238" s="4">
        <v>30580639034</v>
      </c>
      <c r="I238" s="4" t="s">
        <v>428</v>
      </c>
      <c r="J238" s="8" t="s">
        <v>381</v>
      </c>
      <c r="K238" s="173">
        <v>1</v>
      </c>
      <c r="L238" s="10">
        <v>65379.77</v>
      </c>
      <c r="M238" s="10">
        <f>+Tabla1[[#This Row],[Neto]]*21%</f>
        <v>13729.751699999999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f>+SUM(Tabla1[[#This Row],[IVA 21%]:[IVA 27%]])</f>
        <v>13729.751699999999</v>
      </c>
      <c r="V238" s="10">
        <f>+SUM(Tabla1[[#This Row],[Neto]:[Impuestos Internos / Otros Tributos]])</f>
        <v>79109.521699999998</v>
      </c>
      <c r="W238" s="10">
        <f>+Tabla1[[#This Row],[Total]]</f>
        <v>79109.521699999998</v>
      </c>
      <c r="X238" s="10">
        <v>0</v>
      </c>
      <c r="Y238" s="10" t="s">
        <v>324</v>
      </c>
      <c r="Z238" s="10"/>
      <c r="AA238" s="109">
        <v>45623</v>
      </c>
      <c r="AJ238" s="188"/>
    </row>
    <row r="239" spans="1:36" hidden="1" x14ac:dyDescent="0.3">
      <c r="A239" s="8" t="s">
        <v>337</v>
      </c>
      <c r="B239" s="53">
        <v>45566</v>
      </c>
      <c r="C239" s="29" t="s">
        <v>26</v>
      </c>
      <c r="D239" s="28" t="s">
        <v>58</v>
      </c>
      <c r="E239" s="9" t="s">
        <v>28</v>
      </c>
      <c r="F239" s="9" t="s">
        <v>691</v>
      </c>
      <c r="G239" s="4" t="s">
        <v>386</v>
      </c>
      <c r="H239" s="4">
        <v>30716190311</v>
      </c>
      <c r="I239" s="4" t="s">
        <v>692</v>
      </c>
      <c r="J239" s="8" t="s">
        <v>381</v>
      </c>
      <c r="K239" s="173">
        <v>1</v>
      </c>
      <c r="L239" s="10">
        <v>1400000</v>
      </c>
      <c r="M239" s="10">
        <f>+Tabla1[[#This Row],[Neto]]*21%</f>
        <v>294000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f>+SUM(Tabla1[[#This Row],[IVA 21%]:[IVA 27%]])</f>
        <v>294000</v>
      </c>
      <c r="V239" s="10">
        <f>+SUM(Tabla1[[#This Row],[Neto]:[Impuestos Internos / Otros Tributos]])</f>
        <v>1694000</v>
      </c>
      <c r="W239" s="10">
        <f>+Tabla1[[#This Row],[Total]]</f>
        <v>1694000</v>
      </c>
      <c r="X239" s="10">
        <v>0</v>
      </c>
      <c r="Y239" s="49" t="s">
        <v>324</v>
      </c>
      <c r="AA239" s="109">
        <v>45593</v>
      </c>
      <c r="AB239" s="32">
        <f>+Tabla1[[#This Row],[Total a Pagar]]-Tabla1[[#This Row],[SICORE]]</f>
        <v>1694000</v>
      </c>
      <c r="AH239" s="10">
        <v>0</v>
      </c>
      <c r="AJ239" s="188"/>
    </row>
    <row r="240" spans="1:36" hidden="1" x14ac:dyDescent="0.3">
      <c r="A240" s="8" t="s">
        <v>337</v>
      </c>
      <c r="B240" s="53">
        <v>45566</v>
      </c>
      <c r="C240" s="12" t="s">
        <v>26</v>
      </c>
      <c r="D240" s="8" t="s">
        <v>58</v>
      </c>
      <c r="E240" s="9" t="s">
        <v>200</v>
      </c>
      <c r="F240" s="9" t="s">
        <v>725</v>
      </c>
      <c r="G240" s="4" t="s">
        <v>202</v>
      </c>
      <c r="H240" s="4">
        <v>33715472649</v>
      </c>
      <c r="I240" s="4" t="s">
        <v>726</v>
      </c>
      <c r="J240" s="8" t="s">
        <v>381</v>
      </c>
      <c r="K240" s="173">
        <v>1</v>
      </c>
      <c r="L240" s="10">
        <v>6508.26</v>
      </c>
      <c r="M240" s="10">
        <f>+Tabla1[[#This Row],[Neto]]*21%</f>
        <v>1366.7346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f>+Tabla1[[#This Row],[Neto]]*3.6%</f>
        <v>234.29736000000003</v>
      </c>
      <c r="T240" s="10">
        <v>0</v>
      </c>
      <c r="U240" s="10">
        <f>+SUM(Tabla1[[#This Row],[IVA 21%]:[IVA 27%]])</f>
        <v>1366.7346</v>
      </c>
      <c r="V240" s="10">
        <f>+SUM(Tabla1[[#This Row],[Neto]:[Impuestos Internos / Otros Tributos]])</f>
        <v>8109.2919600000005</v>
      </c>
      <c r="W240" s="10">
        <f>+Tabla1[[#This Row],[Total]]</f>
        <v>8109.2919600000005</v>
      </c>
      <c r="X240" s="10">
        <v>0</v>
      </c>
      <c r="Y240" s="49" t="s">
        <v>324</v>
      </c>
      <c r="AA240" s="109">
        <v>45566</v>
      </c>
      <c r="AB240" s="10">
        <v>0</v>
      </c>
      <c r="AH240" s="32">
        <f>+Tabla1[[#This Row],[Total a Pagar]]</f>
        <v>8109.2919600000005</v>
      </c>
      <c r="AJ240" s="188"/>
    </row>
    <row r="241" spans="1:36" hidden="1" x14ac:dyDescent="0.3">
      <c r="A241" s="8" t="s">
        <v>337</v>
      </c>
      <c r="B241" s="53">
        <v>45566</v>
      </c>
      <c r="C241" s="12" t="s">
        <v>26</v>
      </c>
      <c r="D241" s="8" t="s">
        <v>58</v>
      </c>
      <c r="E241" s="9" t="s">
        <v>727</v>
      </c>
      <c r="F241" s="9" t="s">
        <v>728</v>
      </c>
      <c r="G241" s="4" t="s">
        <v>61</v>
      </c>
      <c r="H241" s="4">
        <v>30716375184</v>
      </c>
      <c r="I241" s="4" t="s">
        <v>62</v>
      </c>
      <c r="J241" s="8" t="s">
        <v>381</v>
      </c>
      <c r="K241" s="173">
        <v>1</v>
      </c>
      <c r="L241" s="10">
        <v>8970.8700000000008</v>
      </c>
      <c r="M241" s="10">
        <f>+Tabla1[[#This Row],[Neto]]*21%</f>
        <v>1883.8827000000001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f>+SUM(Tabla1[[#This Row],[IVA 21%]:[IVA 27%]])</f>
        <v>1883.8827000000001</v>
      </c>
      <c r="V241" s="10">
        <f>+SUM(Tabla1[[#This Row],[Neto]:[Impuestos Internos / Otros Tributos]])</f>
        <v>10854.752700000001</v>
      </c>
      <c r="W241" s="10">
        <f>+Tabla1[[#This Row],[Total]]</f>
        <v>10854.752700000001</v>
      </c>
      <c r="X241" s="10">
        <v>0</v>
      </c>
      <c r="Y241" s="49" t="s">
        <v>324</v>
      </c>
      <c r="AA241" s="109">
        <v>45566</v>
      </c>
      <c r="AB241" s="10">
        <v>0</v>
      </c>
      <c r="AH241" s="32">
        <f>+Tabla1[[#This Row],[Total a Pagar]]</f>
        <v>10854.752700000001</v>
      </c>
      <c r="AJ241" s="188"/>
    </row>
    <row r="242" spans="1:36" hidden="1" x14ac:dyDescent="0.3">
      <c r="A242" s="8" t="s">
        <v>337</v>
      </c>
      <c r="B242" s="53">
        <v>45566</v>
      </c>
      <c r="C242" s="12" t="s">
        <v>26</v>
      </c>
      <c r="D242" s="8" t="s">
        <v>70</v>
      </c>
      <c r="E242" s="9" t="s">
        <v>733</v>
      </c>
      <c r="F242" s="9" t="s">
        <v>734</v>
      </c>
      <c r="G242" s="4" t="s">
        <v>735</v>
      </c>
      <c r="H242" s="4">
        <v>30590360763</v>
      </c>
      <c r="I242" s="4" t="s">
        <v>62</v>
      </c>
      <c r="J242" s="8" t="s">
        <v>381</v>
      </c>
      <c r="K242" s="173">
        <v>1</v>
      </c>
      <c r="L242" s="10">
        <v>4000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f>+SUM(Tabla1[[#This Row],[IVA 21%]:[IVA 27%]])</f>
        <v>0</v>
      </c>
      <c r="V242" s="10">
        <f>+SUM(Tabla1[[#This Row],[Neto]:[Impuestos Internos / Otros Tributos]])</f>
        <v>4000</v>
      </c>
      <c r="W242" s="10">
        <f>+Tabla1[[#This Row],[Total]]</f>
        <v>4000</v>
      </c>
      <c r="X242" s="10">
        <v>0</v>
      </c>
      <c r="Y242" s="49" t="s">
        <v>324</v>
      </c>
      <c r="AA242" s="109">
        <v>45566</v>
      </c>
      <c r="AB242" s="10">
        <v>0</v>
      </c>
      <c r="AH242" s="32">
        <f>+Tabla1[[#This Row],[Total a Pagar]]</f>
        <v>4000</v>
      </c>
      <c r="AJ242" s="188"/>
    </row>
    <row r="243" spans="1:36" hidden="1" x14ac:dyDescent="0.3">
      <c r="A243" s="8" t="s">
        <v>337</v>
      </c>
      <c r="B243" s="53">
        <v>45566</v>
      </c>
      <c r="C243" s="12" t="s">
        <v>26</v>
      </c>
      <c r="D243" s="8" t="s">
        <v>58</v>
      </c>
      <c r="E243" s="9" t="s">
        <v>74</v>
      </c>
      <c r="F243" s="9" t="s">
        <v>736</v>
      </c>
      <c r="G243" s="4" t="s">
        <v>737</v>
      </c>
      <c r="H243" s="4">
        <v>20138454860</v>
      </c>
      <c r="I243" s="4" t="s">
        <v>738</v>
      </c>
      <c r="J243" s="8" t="s">
        <v>381</v>
      </c>
      <c r="K243" s="173">
        <v>1</v>
      </c>
      <c r="L243" s="10">
        <v>3966.94</v>
      </c>
      <c r="M243" s="10">
        <f>+Tabla1[[#This Row],[Neto]]*21%</f>
        <v>833.05740000000003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f>+SUM(Tabla1[[#This Row],[IVA 21%]:[IVA 27%]])</f>
        <v>833.05740000000003</v>
      </c>
      <c r="V243" s="10">
        <f>+SUM(Tabla1[[#This Row],[Neto]:[Impuestos Internos / Otros Tributos]])</f>
        <v>4799.9974000000002</v>
      </c>
      <c r="W243" s="10">
        <f>+Tabla1[[#This Row],[Total]]</f>
        <v>4799.9974000000002</v>
      </c>
      <c r="X243" s="10">
        <v>0</v>
      </c>
      <c r="Y243" s="49" t="s">
        <v>324</v>
      </c>
      <c r="AA243" s="109">
        <v>45566</v>
      </c>
      <c r="AB243" s="10">
        <v>0</v>
      </c>
      <c r="AH243" s="32">
        <f>+Tabla1[[#This Row],[Total a Pagar]]</f>
        <v>4799.9974000000002</v>
      </c>
      <c r="AJ243" s="188"/>
    </row>
    <row r="244" spans="1:36" hidden="1" x14ac:dyDescent="0.3">
      <c r="A244" s="8" t="s">
        <v>337</v>
      </c>
      <c r="B244" s="53">
        <v>45566</v>
      </c>
      <c r="C244" s="12" t="s">
        <v>26</v>
      </c>
      <c r="D244" s="8" t="s">
        <v>27</v>
      </c>
      <c r="E244" s="9" t="s">
        <v>32</v>
      </c>
      <c r="F244" s="9" t="s">
        <v>739</v>
      </c>
      <c r="G244" s="4" t="s">
        <v>291</v>
      </c>
      <c r="H244" s="4">
        <v>20076367834</v>
      </c>
      <c r="I244" s="4" t="s">
        <v>292</v>
      </c>
      <c r="J244" s="8" t="s">
        <v>381</v>
      </c>
      <c r="K244" s="173">
        <v>1</v>
      </c>
      <c r="L244" s="10">
        <v>52400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f>+SUM(Tabla1[[#This Row],[IVA 21%]:[IVA 27%]])</f>
        <v>0</v>
      </c>
      <c r="V244" s="10">
        <f>+SUM(Tabla1[[#This Row],[Neto]:[Impuestos Internos / Otros Tributos]])</f>
        <v>52400</v>
      </c>
      <c r="W244" s="10">
        <f>+Tabla1[[#This Row],[Total]]</f>
        <v>52400</v>
      </c>
      <c r="X244" s="10">
        <v>0</v>
      </c>
      <c r="Y244" s="49" t="s">
        <v>324</v>
      </c>
      <c r="AA244" s="109">
        <v>45566</v>
      </c>
      <c r="AB244" s="10">
        <v>0</v>
      </c>
      <c r="AH244" s="32">
        <f>+Tabla1[[#This Row],[Total a Pagar]]</f>
        <v>52400</v>
      </c>
      <c r="AJ244" s="188"/>
    </row>
    <row r="245" spans="1:36" hidden="1" x14ac:dyDescent="0.3">
      <c r="A245" s="78" t="s">
        <v>337</v>
      </c>
      <c r="B245" s="79">
        <v>45566</v>
      </c>
      <c r="C245" s="12" t="s">
        <v>26</v>
      </c>
      <c r="D245" s="8" t="s">
        <v>58</v>
      </c>
      <c r="E245" s="9" t="s">
        <v>111</v>
      </c>
      <c r="F245" s="9" t="s">
        <v>741</v>
      </c>
      <c r="G245" s="4" t="s">
        <v>95</v>
      </c>
      <c r="H245" s="4">
        <v>30583516790</v>
      </c>
      <c r="I245" s="4" t="s">
        <v>96</v>
      </c>
      <c r="J245" s="8" t="s">
        <v>381</v>
      </c>
      <c r="K245" s="173">
        <v>1</v>
      </c>
      <c r="L245" s="10">
        <v>3430.85</v>
      </c>
      <c r="M245" s="10">
        <f>+Tabla1[[#This Row],[Neto]]*21%</f>
        <v>720.47849999999994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f>+SUM(Tabla1[[#This Row],[IVA 21%]:[IVA 27%]])</f>
        <v>720.47849999999994</v>
      </c>
      <c r="V245" s="10">
        <f>+SUM(Tabla1[[#This Row],[Neto]:[Impuestos Internos / Otros Tributos]])</f>
        <v>4151.3284999999996</v>
      </c>
      <c r="W245" s="82">
        <f>+Tabla1[[#This Row],[Total]]</f>
        <v>4151.3284999999996</v>
      </c>
      <c r="X245" s="10">
        <v>0</v>
      </c>
      <c r="Y245" s="49" t="s">
        <v>324</v>
      </c>
      <c r="AA245" s="109">
        <v>45566</v>
      </c>
      <c r="AB245" s="10">
        <v>0</v>
      </c>
      <c r="AH245" s="32">
        <f>+Tabla1[[#This Row],[Total a Pagar]]</f>
        <v>4151.3284999999996</v>
      </c>
      <c r="AJ245" s="188"/>
    </row>
    <row r="246" spans="1:36" hidden="1" x14ac:dyDescent="0.3">
      <c r="A246" s="8" t="s">
        <v>337</v>
      </c>
      <c r="B246" s="53">
        <v>45566</v>
      </c>
      <c r="C246" s="37" t="s">
        <v>434</v>
      </c>
      <c r="D246" s="8" t="s">
        <v>403</v>
      </c>
      <c r="E246" s="9" t="s">
        <v>28</v>
      </c>
      <c r="F246" s="9" t="s">
        <v>744</v>
      </c>
      <c r="G246" s="4" t="s">
        <v>406</v>
      </c>
      <c r="H246" s="4">
        <v>30111111111</v>
      </c>
      <c r="I246" s="4" t="s">
        <v>405</v>
      </c>
      <c r="J246" s="8" t="s">
        <v>381</v>
      </c>
      <c r="K246" s="173">
        <v>1</v>
      </c>
      <c r="L246" s="10">
        <f>4000+16000</f>
        <v>20000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f>+SUM(Tabla1[[#This Row],[IVA 21%]:[IVA 27%]])</f>
        <v>0</v>
      </c>
      <c r="V246" s="10">
        <f>+SUM(Tabla1[[#This Row],[Neto]:[Impuestos Internos / Otros Tributos]])</f>
        <v>20000</v>
      </c>
      <c r="W246" s="10">
        <f>+Tabla1[[#This Row],[Total]]</f>
        <v>20000</v>
      </c>
      <c r="X246" s="10">
        <v>0</v>
      </c>
      <c r="Y246" s="49" t="s">
        <v>324</v>
      </c>
      <c r="AA246" s="109">
        <v>45566</v>
      </c>
      <c r="AB246" s="10">
        <v>0</v>
      </c>
      <c r="AH246" s="32">
        <f>+Tabla1[[#This Row],[Total a Pagar]]</f>
        <v>20000</v>
      </c>
      <c r="AJ246" s="188"/>
    </row>
    <row r="247" spans="1:36" hidden="1" x14ac:dyDescent="0.3">
      <c r="A247" s="102" t="s">
        <v>337</v>
      </c>
      <c r="B247" s="103">
        <v>45566</v>
      </c>
      <c r="C247" s="118" t="s">
        <v>641</v>
      </c>
      <c r="D247" s="102"/>
      <c r="E247" s="102"/>
      <c r="F247" s="102"/>
      <c r="G247" s="104" t="s">
        <v>787</v>
      </c>
      <c r="H247" s="104"/>
      <c r="I247" s="104" t="s">
        <v>790</v>
      </c>
      <c r="J247" s="102" t="s">
        <v>381</v>
      </c>
      <c r="K247" s="173">
        <v>1</v>
      </c>
      <c r="L247" s="105">
        <v>800000</v>
      </c>
      <c r="M247" s="105">
        <v>0</v>
      </c>
      <c r="N247" s="105">
        <v>0</v>
      </c>
      <c r="O247" s="105">
        <v>0</v>
      </c>
      <c r="P247" s="105">
        <v>0</v>
      </c>
      <c r="Q247" s="105">
        <v>0</v>
      </c>
      <c r="R247" s="105">
        <v>0</v>
      </c>
      <c r="S247" s="105">
        <v>0</v>
      </c>
      <c r="T247" s="105">
        <v>0</v>
      </c>
      <c r="U247" s="105">
        <f>+SUM(Tabla1[[#This Row],[IVA 21%]:[IVA 27%]])</f>
        <v>0</v>
      </c>
      <c r="V247" s="10">
        <f>+SUM(Tabla1[[#This Row],[Neto]:[Impuestos Internos / Otros Tributos]])</f>
        <v>800000</v>
      </c>
      <c r="W247" s="10">
        <f>+Tabla1[[#This Row],[Total]]</f>
        <v>800000</v>
      </c>
      <c r="X247" s="105">
        <v>0</v>
      </c>
      <c r="Y247" s="49" t="s">
        <v>324</v>
      </c>
      <c r="Z247" s="119"/>
      <c r="AA247" s="117"/>
      <c r="AB247" s="105"/>
      <c r="AC247" s="104"/>
      <c r="AD247" s="104"/>
      <c r="AE247" s="104"/>
      <c r="AF247" s="104"/>
      <c r="AG247" s="104"/>
      <c r="AH247" s="105"/>
      <c r="AI247" s="104"/>
      <c r="AJ247" s="188"/>
    </row>
    <row r="248" spans="1:36" hidden="1" x14ac:dyDescent="0.3">
      <c r="A248" s="8" t="s">
        <v>337</v>
      </c>
      <c r="B248" s="53">
        <v>45596</v>
      </c>
      <c r="C248" s="12" t="s">
        <v>410</v>
      </c>
      <c r="D248" s="8" t="s">
        <v>58</v>
      </c>
      <c r="E248" s="9" t="s">
        <v>74</v>
      </c>
      <c r="F248" s="9" t="s">
        <v>795</v>
      </c>
      <c r="G248" s="4" t="s">
        <v>427</v>
      </c>
      <c r="H248" s="4">
        <v>30580639034</v>
      </c>
      <c r="I248" s="4" t="s">
        <v>428</v>
      </c>
      <c r="J248" s="8" t="s">
        <v>381</v>
      </c>
      <c r="K248" s="173">
        <v>1</v>
      </c>
      <c r="L248" s="10">
        <v>97252.4</v>
      </c>
      <c r="M248" s="10">
        <f>+Tabla1[[#This Row],[Neto]]*21%</f>
        <v>20423.003999999997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f>+SUM(Tabla1[[#This Row],[IVA 21%]:[IVA 27%]])</f>
        <v>20423.003999999997</v>
      </c>
      <c r="V248" s="10">
        <f>+SUM(Tabla1[[#This Row],[Neto]:[Impuestos Internos / Otros Tributos]])</f>
        <v>117675.40399999999</v>
      </c>
      <c r="W248" s="10">
        <f>+Tabla1[[#This Row],[Total]]</f>
        <v>117675.40399999999</v>
      </c>
      <c r="X248" s="10">
        <v>0</v>
      </c>
      <c r="Y248" s="49" t="s">
        <v>324</v>
      </c>
      <c r="AA248" s="109">
        <v>45623</v>
      </c>
      <c r="AB248" s="10">
        <f>+W77+W238+Tabla1[[#This Row],[Total a Pagar]]</f>
        <v>238280.06069999997</v>
      </c>
      <c r="AH248" s="10">
        <v>0</v>
      </c>
      <c r="AJ248" s="188"/>
    </row>
    <row r="249" spans="1:36" hidden="1" x14ac:dyDescent="0.3">
      <c r="A249" s="87" t="s">
        <v>337</v>
      </c>
      <c r="B249" s="88">
        <v>45567</v>
      </c>
      <c r="C249" s="93" t="s">
        <v>26</v>
      </c>
      <c r="D249" s="87" t="s">
        <v>58</v>
      </c>
      <c r="E249" s="94" t="s">
        <v>74</v>
      </c>
      <c r="F249" s="94" t="s">
        <v>703</v>
      </c>
      <c r="G249" s="89" t="s">
        <v>80</v>
      </c>
      <c r="H249" s="89">
        <v>20138455654</v>
      </c>
      <c r="I249" s="89" t="s">
        <v>81</v>
      </c>
      <c r="J249" s="87" t="s">
        <v>381</v>
      </c>
      <c r="K249" s="173">
        <v>1</v>
      </c>
      <c r="L249" s="82">
        <v>5537.19</v>
      </c>
      <c r="M249" s="90">
        <f>+Tabla1[[#This Row],[Neto]]*21%</f>
        <v>1162.8099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 s="90">
        <f>+SUM(Tabla1[[#This Row],[IVA 21%]:[IVA 27%]])</f>
        <v>1162.8099</v>
      </c>
      <c r="V249" s="10">
        <f>+SUM(Tabla1[[#This Row],[Neto]:[Impuestos Internos / Otros Tributos]])</f>
        <v>6699.9998999999998</v>
      </c>
      <c r="W249" s="10">
        <f>+Tabla1[[#This Row],[Total]]</f>
        <v>6699.9998999999998</v>
      </c>
      <c r="X249" s="82">
        <v>0</v>
      </c>
      <c r="Y249" s="91" t="s">
        <v>324</v>
      </c>
      <c r="Z249" s="91"/>
      <c r="AA249" s="113">
        <v>45567</v>
      </c>
      <c r="AB249" s="90">
        <v>0</v>
      </c>
      <c r="AC249" s="89"/>
      <c r="AD249" s="89"/>
      <c r="AE249" s="89"/>
      <c r="AF249" s="89"/>
      <c r="AG249" s="89"/>
      <c r="AH249" s="92">
        <f>+Tabla1[[#This Row],[Total a Pagar]]</f>
        <v>6699.9998999999998</v>
      </c>
      <c r="AI249" s="89"/>
      <c r="AJ249" s="188"/>
    </row>
    <row r="250" spans="1:36" hidden="1" x14ac:dyDescent="0.3">
      <c r="A250" s="78" t="s">
        <v>337</v>
      </c>
      <c r="B250" s="79">
        <v>45567</v>
      </c>
      <c r="C250" s="12" t="s">
        <v>26</v>
      </c>
      <c r="D250" s="8" t="s">
        <v>27</v>
      </c>
      <c r="E250" s="9" t="s">
        <v>37</v>
      </c>
      <c r="F250" s="9" t="s">
        <v>740</v>
      </c>
      <c r="G250" s="4" t="s">
        <v>78</v>
      </c>
      <c r="H250" s="4">
        <v>20105424605</v>
      </c>
      <c r="I250" s="4" t="s">
        <v>277</v>
      </c>
      <c r="J250" s="8" t="s">
        <v>381</v>
      </c>
      <c r="K250" s="173">
        <v>1</v>
      </c>
      <c r="L250" s="10">
        <v>15420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f>+SUM(Tabla1[[#This Row],[IVA 21%]:[IVA 27%]])</f>
        <v>0</v>
      </c>
      <c r="V250" s="10">
        <f>+SUM(Tabla1[[#This Row],[Neto]:[Impuestos Internos / Otros Tributos]])</f>
        <v>15420</v>
      </c>
      <c r="W250" s="10">
        <f>+Tabla1[[#This Row],[Total]]</f>
        <v>15420</v>
      </c>
      <c r="X250" s="10">
        <v>0</v>
      </c>
      <c r="Y250" s="49" t="s">
        <v>324</v>
      </c>
      <c r="AA250" s="109">
        <v>45567</v>
      </c>
      <c r="AB250" s="10">
        <v>0</v>
      </c>
      <c r="AH250" s="32">
        <f>+Tabla1[[#This Row],[Total a Pagar]]</f>
        <v>15420</v>
      </c>
      <c r="AJ250" s="188"/>
    </row>
    <row r="251" spans="1:36" hidden="1" x14ac:dyDescent="0.3">
      <c r="A251" s="8" t="s">
        <v>337</v>
      </c>
      <c r="B251" s="53">
        <v>45567</v>
      </c>
      <c r="C251" s="29" t="s">
        <v>26</v>
      </c>
      <c r="D251" s="28" t="s">
        <v>58</v>
      </c>
      <c r="E251" s="9" t="s">
        <v>74</v>
      </c>
      <c r="F251" s="9" t="s">
        <v>872</v>
      </c>
      <c r="G251" s="4" t="s">
        <v>962</v>
      </c>
      <c r="H251" s="4">
        <v>20126068450</v>
      </c>
      <c r="I251" s="4" t="s">
        <v>877</v>
      </c>
      <c r="J251" s="8" t="s">
        <v>382</v>
      </c>
      <c r="K251" s="173">
        <v>991</v>
      </c>
      <c r="L251" s="10">
        <v>166.67</v>
      </c>
      <c r="M251" s="10">
        <f>+Tabla1[[#This Row],[Neto]]*21%</f>
        <v>35.000699999999995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f>+Tabla1[[#This Row],[Neto]]*3.6%</f>
        <v>6.0001199999999999</v>
      </c>
      <c r="T251" s="10">
        <f>+Tabla1[[#This Row],[Neto]]*2.5%</f>
        <v>4.1667499999999995</v>
      </c>
      <c r="U251" s="10">
        <f>+SUM(Tabla1[[#This Row],[IVA 21%]:[IVA 27%]])</f>
        <v>35.000699999999995</v>
      </c>
      <c r="V251" s="10">
        <f>+SUM(Tabla1[[#This Row],[Neto]:[Impuestos Internos / Otros Tributos]])</f>
        <v>211.83757</v>
      </c>
      <c r="W251" s="10">
        <f>+Tabla1[[#This Row],[Total]]</f>
        <v>211.83757</v>
      </c>
      <c r="X251" s="10"/>
      <c r="Y251" s="49" t="s">
        <v>325</v>
      </c>
      <c r="AA251" s="109"/>
      <c r="AJ251" s="188"/>
    </row>
    <row r="252" spans="1:36" hidden="1" x14ac:dyDescent="0.3">
      <c r="A252" s="8" t="s">
        <v>337</v>
      </c>
      <c r="B252" s="53">
        <v>45568</v>
      </c>
      <c r="C252" s="12" t="s">
        <v>26</v>
      </c>
      <c r="D252" s="8" t="s">
        <v>27</v>
      </c>
      <c r="E252" s="9" t="s">
        <v>37</v>
      </c>
      <c r="F252" s="9" t="s">
        <v>353</v>
      </c>
      <c r="G252" s="4" t="s">
        <v>354</v>
      </c>
      <c r="H252" s="4">
        <v>27332358435</v>
      </c>
      <c r="I252" s="4" t="s">
        <v>355</v>
      </c>
      <c r="J252" s="8" t="s">
        <v>381</v>
      </c>
      <c r="K252" s="173">
        <v>1</v>
      </c>
      <c r="L252" s="10">
        <v>400000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f>+SUM(Tabla1[[#This Row],[IVA 21%]:[IVA 27%]])</f>
        <v>0</v>
      </c>
      <c r="V252" s="10">
        <f>+SUM(Tabla1[[#This Row],[Neto]:[Impuestos Internos / Otros Tributos]])</f>
        <v>400000</v>
      </c>
      <c r="W252" s="10">
        <f>+Tabla1[[#This Row],[Total]]</f>
        <v>400000</v>
      </c>
      <c r="X252" s="10">
        <v>0</v>
      </c>
      <c r="Y252" s="14" t="s">
        <v>324</v>
      </c>
      <c r="Z252" s="14"/>
      <c r="AA252" s="109">
        <v>45570</v>
      </c>
      <c r="AB252" s="32">
        <f>+Tabla1[[#This Row],[Total a Pagar]]</f>
        <v>400000</v>
      </c>
      <c r="AH252" s="10">
        <v>0</v>
      </c>
      <c r="AJ252" s="188"/>
    </row>
    <row r="253" spans="1:36" hidden="1" x14ac:dyDescent="0.3">
      <c r="A253" s="8" t="s">
        <v>337</v>
      </c>
      <c r="B253" s="53">
        <v>45568</v>
      </c>
      <c r="C253" s="12" t="s">
        <v>26</v>
      </c>
      <c r="D253" s="8" t="s">
        <v>58</v>
      </c>
      <c r="E253" s="9" t="s">
        <v>74</v>
      </c>
      <c r="F253" s="9" t="s">
        <v>362</v>
      </c>
      <c r="G253" s="4" t="s">
        <v>363</v>
      </c>
      <c r="H253" s="4">
        <v>30716688735</v>
      </c>
      <c r="I253" s="4" t="s">
        <v>142</v>
      </c>
      <c r="J253" s="8" t="s">
        <v>381</v>
      </c>
      <c r="K253" s="173">
        <v>1</v>
      </c>
      <c r="L253" s="10">
        <v>115980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f>+SUM(Tabla1[[#This Row],[IVA 21%]:[IVA 27%]])</f>
        <v>0</v>
      </c>
      <c r="V253" s="10">
        <f>+SUM(Tabla1[[#This Row],[Neto]:[Impuestos Internos / Otros Tributos]])</f>
        <v>115980</v>
      </c>
      <c r="W253" s="10">
        <f>+Tabla1[[#This Row],[Total]]</f>
        <v>115980</v>
      </c>
      <c r="X253" s="10">
        <v>0</v>
      </c>
      <c r="Y253" s="10" t="s">
        <v>324</v>
      </c>
      <c r="Z253" s="10"/>
      <c r="AA253" s="109">
        <v>45604</v>
      </c>
      <c r="AB253" s="32">
        <f>+Tabla1[[#This Row],[Total a Pagar]]</f>
        <v>115980</v>
      </c>
      <c r="AH253" s="10">
        <v>0</v>
      </c>
      <c r="AJ253" s="188"/>
    </row>
    <row r="254" spans="1:36" hidden="1" x14ac:dyDescent="0.3">
      <c r="A254" s="28" t="s">
        <v>337</v>
      </c>
      <c r="B254" s="58">
        <v>45568</v>
      </c>
      <c r="C254" s="12" t="s">
        <v>26</v>
      </c>
      <c r="D254" s="8" t="s">
        <v>58</v>
      </c>
      <c r="E254" s="9" t="s">
        <v>67</v>
      </c>
      <c r="F254" s="9" t="s">
        <v>376</v>
      </c>
      <c r="G254" s="30" t="s">
        <v>374</v>
      </c>
      <c r="H254" s="30">
        <v>30712149945</v>
      </c>
      <c r="I254" s="30" t="s">
        <v>375</v>
      </c>
      <c r="J254" s="8" t="s">
        <v>381</v>
      </c>
      <c r="K254" s="173">
        <v>1</v>
      </c>
      <c r="L254" s="31">
        <v>29374.79</v>
      </c>
      <c r="M254" s="31">
        <f>+Tabla1[[#This Row],[Neto]]*21%</f>
        <v>6168.7058999999999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10">
        <f>+SUM(Tabla1[[#This Row],[IVA 21%]:[IVA 27%]])</f>
        <v>6168.7058999999999</v>
      </c>
      <c r="V254" s="10">
        <f>+SUM(Tabla1[[#This Row],[Neto]:[Impuestos Internos / Otros Tributos]])</f>
        <v>35543.495900000002</v>
      </c>
      <c r="W254" s="10">
        <f>+Tabla1[[#This Row],[Total]]</f>
        <v>35543.495900000002</v>
      </c>
      <c r="X254" s="31">
        <v>0</v>
      </c>
      <c r="Y254" s="10" t="s">
        <v>324</v>
      </c>
      <c r="Z254" s="10"/>
      <c r="AA254" s="112">
        <v>45567</v>
      </c>
      <c r="AB254" s="32">
        <f>+Tabla1[[#This Row],[Total a Pagar]]</f>
        <v>35543.495900000002</v>
      </c>
      <c r="AC254" s="30"/>
      <c r="AD254" s="30"/>
      <c r="AE254" s="30"/>
      <c r="AF254" s="30"/>
      <c r="AG254" s="30"/>
      <c r="AH254" s="31">
        <v>0</v>
      </c>
      <c r="AI254" s="30"/>
      <c r="AJ254" s="188"/>
    </row>
    <row r="255" spans="1:36" hidden="1" x14ac:dyDescent="0.3">
      <c r="A255" s="8" t="s">
        <v>337</v>
      </c>
      <c r="B255" s="53">
        <v>45568</v>
      </c>
      <c r="C255" s="12" t="s">
        <v>26</v>
      </c>
      <c r="D255" s="8" t="s">
        <v>58</v>
      </c>
      <c r="E255" s="9" t="s">
        <v>64</v>
      </c>
      <c r="F255" s="9" t="s">
        <v>398</v>
      </c>
      <c r="G255" s="4" t="s">
        <v>66</v>
      </c>
      <c r="H255" s="4">
        <v>30673770483</v>
      </c>
      <c r="I255" s="4" t="s">
        <v>62</v>
      </c>
      <c r="J255" s="8" t="s">
        <v>381</v>
      </c>
      <c r="K255" s="173">
        <v>1</v>
      </c>
      <c r="L255" s="10">
        <v>38797.360000000001</v>
      </c>
      <c r="M255" s="10">
        <f>+Tabla1[[#This Row],[Neto]]*21%</f>
        <v>8147.4456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f>+Tabla1[[#This Row],[Neto]]*3.6%</f>
        <v>1396.7049600000003</v>
      </c>
      <c r="T255" s="10">
        <v>0</v>
      </c>
      <c r="U255" s="10">
        <f>+SUM(Tabla1[[#This Row],[IVA 21%]:[IVA 27%]])</f>
        <v>8147.4456</v>
      </c>
      <c r="V255" s="10">
        <f>+SUM(Tabla1[[#This Row],[Neto]:[Impuestos Internos / Otros Tributos]])</f>
        <v>48341.510560000002</v>
      </c>
      <c r="W255" s="10">
        <f>+Tabla1[[#This Row],[Total]]</f>
        <v>48341.510560000002</v>
      </c>
      <c r="X255" s="10">
        <v>0</v>
      </c>
      <c r="Y255" s="14" t="s">
        <v>324</v>
      </c>
      <c r="Z255" s="14"/>
      <c r="AA255" s="109">
        <v>45568</v>
      </c>
      <c r="AB255" s="10">
        <v>0</v>
      </c>
      <c r="AH255" s="32">
        <f>+Tabla1[[#This Row],[Total a Pagar]]</f>
        <v>48341.510560000002</v>
      </c>
      <c r="AJ255" s="188"/>
    </row>
    <row r="256" spans="1:36" hidden="1" x14ac:dyDescent="0.3">
      <c r="A256" s="8" t="s">
        <v>337</v>
      </c>
      <c r="B256" s="53">
        <v>45568</v>
      </c>
      <c r="C256" s="12" t="s">
        <v>26</v>
      </c>
      <c r="D256" s="8" t="s">
        <v>58</v>
      </c>
      <c r="E256" s="9" t="s">
        <v>399</v>
      </c>
      <c r="F256" s="9" t="s">
        <v>400</v>
      </c>
      <c r="G256" s="4" t="s">
        <v>61</v>
      </c>
      <c r="H256" s="4">
        <v>30716375184</v>
      </c>
      <c r="I256" s="4" t="s">
        <v>62</v>
      </c>
      <c r="J256" s="8" t="s">
        <v>381</v>
      </c>
      <c r="K256" s="173">
        <v>1</v>
      </c>
      <c r="L256" s="10">
        <v>18512.32</v>
      </c>
      <c r="M256" s="10">
        <f>+Tabla1[[#This Row],[Neto]]*21%</f>
        <v>3887.5871999999999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f>+SUM(Tabla1[[#This Row],[IVA 21%]:[IVA 27%]])</f>
        <v>3887.5871999999999</v>
      </c>
      <c r="V256" s="10">
        <f>+SUM(Tabla1[[#This Row],[Neto]:[Impuestos Internos / Otros Tributos]])</f>
        <v>22399.907200000001</v>
      </c>
      <c r="W256" s="10">
        <f>+Tabla1[[#This Row],[Total]]</f>
        <v>22399.907200000001</v>
      </c>
      <c r="X256" s="10">
        <v>0</v>
      </c>
      <c r="Y256" s="14" t="s">
        <v>324</v>
      </c>
      <c r="Z256" s="14"/>
      <c r="AA256" s="109">
        <v>45568</v>
      </c>
      <c r="AB256" s="10">
        <v>0</v>
      </c>
      <c r="AH256" s="32">
        <f>+Tabla1[[#This Row],[Total a Pagar]]</f>
        <v>22399.907200000001</v>
      </c>
      <c r="AJ256" s="188"/>
    </row>
    <row r="257" spans="1:36" hidden="1" x14ac:dyDescent="0.3">
      <c r="A257" s="8" t="s">
        <v>337</v>
      </c>
      <c r="B257" s="53">
        <v>45568</v>
      </c>
      <c r="C257" s="12" t="s">
        <v>26</v>
      </c>
      <c r="D257" s="8" t="s">
        <v>27</v>
      </c>
      <c r="E257" s="9" t="s">
        <v>37</v>
      </c>
      <c r="F257" s="9" t="s">
        <v>401</v>
      </c>
      <c r="G257" s="4" t="s">
        <v>78</v>
      </c>
      <c r="H257" s="4">
        <v>20105424605</v>
      </c>
      <c r="I257" s="4" t="s">
        <v>277</v>
      </c>
      <c r="J257" s="8" t="s">
        <v>381</v>
      </c>
      <c r="K257" s="173">
        <v>1</v>
      </c>
      <c r="L257" s="10">
        <v>10650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f>+SUM(Tabla1[[#This Row],[IVA 21%]:[IVA 27%]])</f>
        <v>0</v>
      </c>
      <c r="V257" s="10">
        <f>+SUM(Tabla1[[#This Row],[Neto]:[Impuestos Internos / Otros Tributos]])</f>
        <v>10650</v>
      </c>
      <c r="W257" s="10">
        <f>+Tabla1[[#This Row],[Total]]</f>
        <v>10650</v>
      </c>
      <c r="X257" s="10">
        <v>0</v>
      </c>
      <c r="Y257" s="14" t="s">
        <v>324</v>
      </c>
      <c r="Z257" s="14"/>
      <c r="AA257" s="109">
        <v>45568</v>
      </c>
      <c r="AB257" s="10">
        <v>0</v>
      </c>
      <c r="AH257" s="32">
        <f>+Tabla1[[#This Row],[Total a Pagar]]</f>
        <v>10650</v>
      </c>
      <c r="AJ257" s="188"/>
    </row>
    <row r="258" spans="1:36" x14ac:dyDescent="0.3">
      <c r="A258" s="36" t="s">
        <v>337</v>
      </c>
      <c r="B258" s="55">
        <v>45568</v>
      </c>
      <c r="C258" s="37" t="s">
        <v>26</v>
      </c>
      <c r="D258" s="36" t="s">
        <v>58</v>
      </c>
      <c r="E258" s="45" t="s">
        <v>32</v>
      </c>
      <c r="F258" s="45" t="s">
        <v>473</v>
      </c>
      <c r="G258" s="38" t="s">
        <v>146</v>
      </c>
      <c r="H258" s="38">
        <v>33716385359</v>
      </c>
      <c r="I258" s="38" t="s">
        <v>142</v>
      </c>
      <c r="J258" s="36" t="s">
        <v>381</v>
      </c>
      <c r="K258" s="173">
        <v>1</v>
      </c>
      <c r="L258" s="39">
        <v>537250</v>
      </c>
      <c r="M258" s="39">
        <f>+Tabla1[[#This Row],[Neto]]*21%</f>
        <v>112822.5</v>
      </c>
      <c r="N258" s="39">
        <v>0</v>
      </c>
      <c r="O258" s="39">
        <v>0</v>
      </c>
      <c r="P258" s="39">
        <v>0</v>
      </c>
      <c r="Q258" s="39">
        <v>834275</v>
      </c>
      <c r="R258" s="39">
        <v>0</v>
      </c>
      <c r="S258" s="39">
        <f>+(Tabla1[[#This Row],[Neto]]+Tabla1[[#This Row],[Exento]])*3.6%</f>
        <v>49374.900000000009</v>
      </c>
      <c r="T258" s="39">
        <v>0</v>
      </c>
      <c r="U258" s="39">
        <f>+SUM(Tabla1[[#This Row],[IVA 21%]:[IVA 27%]])</f>
        <v>112822.5</v>
      </c>
      <c r="V258" s="10">
        <f>+SUM(Tabla1[[#This Row],[Neto]:[Impuestos Internos / Otros Tributos]])</f>
        <v>1533722.4</v>
      </c>
      <c r="W258" s="39">
        <f>+Tabla1[[#This Row],[Total]]</f>
        <v>1533722.4</v>
      </c>
      <c r="X258" s="39"/>
      <c r="Y258" s="10" t="s">
        <v>324</v>
      </c>
      <c r="Z258" s="10"/>
      <c r="AA258" s="107">
        <v>45610</v>
      </c>
      <c r="AB258" s="39"/>
      <c r="AC258" s="38"/>
      <c r="AD258" s="38"/>
      <c r="AE258" s="38"/>
      <c r="AF258" s="38"/>
      <c r="AG258" s="38"/>
      <c r="AH258" s="39"/>
      <c r="AI258" s="38"/>
      <c r="AJ258" s="4" t="s">
        <v>963</v>
      </c>
    </row>
    <row r="259" spans="1:36" hidden="1" x14ac:dyDescent="0.3">
      <c r="A259" s="36" t="s">
        <v>337</v>
      </c>
      <c r="B259" s="55">
        <v>45568</v>
      </c>
      <c r="C259" s="12" t="s">
        <v>26</v>
      </c>
      <c r="D259" s="8" t="s">
        <v>58</v>
      </c>
      <c r="E259" s="9" t="s">
        <v>266</v>
      </c>
      <c r="F259" s="9" t="s">
        <v>477</v>
      </c>
      <c r="G259" s="4" t="s">
        <v>268</v>
      </c>
      <c r="H259" s="4">
        <v>30690633635</v>
      </c>
      <c r="I259" s="4" t="s">
        <v>478</v>
      </c>
      <c r="J259" s="36" t="s">
        <v>381</v>
      </c>
      <c r="K259" s="173">
        <v>1</v>
      </c>
      <c r="L259" s="39">
        <v>1858449.7</v>
      </c>
      <c r="M259" s="39">
        <v>0</v>
      </c>
      <c r="N259" s="39">
        <v>0</v>
      </c>
      <c r="O259" s="39">
        <f>413500.1+78673.32</f>
        <v>492173.42</v>
      </c>
      <c r="P259" s="39">
        <v>0</v>
      </c>
      <c r="Q259" s="39">
        <v>0</v>
      </c>
      <c r="R259" s="39">
        <v>0</v>
      </c>
      <c r="S259" s="39">
        <v>0</v>
      </c>
      <c r="T259" s="39">
        <f>82700.1+5827.65+49957.56+1052.55+17542.5+31576.5+0.8</f>
        <v>188657.65999999997</v>
      </c>
      <c r="U259" s="39">
        <f>+SUM(Tabla1[[#This Row],[IVA 21%]:[IVA 27%]])</f>
        <v>492173.42</v>
      </c>
      <c r="V259" s="10">
        <f>+SUM(Tabla1[[#This Row],[Neto]:[Impuestos Internos / Otros Tributos]])</f>
        <v>2539280.7800000003</v>
      </c>
      <c r="W259" s="10">
        <f>+Tabla1[[#This Row],[Total]]</f>
        <v>2539280.7800000003</v>
      </c>
      <c r="X259" s="39">
        <v>0</v>
      </c>
      <c r="Y259" s="49" t="s">
        <v>324</v>
      </c>
      <c r="AA259" s="107">
        <v>45579</v>
      </c>
      <c r="AB259" s="50">
        <f>+Tabla1[[#This Row],[Total a Pagar]]</f>
        <v>2539280.7800000003</v>
      </c>
      <c r="AC259" s="38"/>
      <c r="AD259" s="38"/>
      <c r="AE259" s="38"/>
      <c r="AF259" s="38"/>
      <c r="AG259" s="38"/>
      <c r="AH259" s="39">
        <v>0</v>
      </c>
      <c r="AI259" s="38"/>
      <c r="AJ259" s="188"/>
    </row>
    <row r="260" spans="1:36" hidden="1" x14ac:dyDescent="0.3">
      <c r="A260" s="8" t="s">
        <v>337</v>
      </c>
      <c r="B260" s="53">
        <v>45569</v>
      </c>
      <c r="C260" s="12" t="s">
        <v>26</v>
      </c>
      <c r="D260" s="8" t="s">
        <v>27</v>
      </c>
      <c r="E260" s="9" t="s">
        <v>37</v>
      </c>
      <c r="F260" s="9" t="s">
        <v>702</v>
      </c>
      <c r="G260" s="4" t="s">
        <v>78</v>
      </c>
      <c r="H260" s="4">
        <v>20105424605</v>
      </c>
      <c r="I260" s="4" t="s">
        <v>277</v>
      </c>
      <c r="J260" s="8" t="s">
        <v>381</v>
      </c>
      <c r="K260" s="173">
        <v>1</v>
      </c>
      <c r="L260" s="10">
        <v>6570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f>+SUM(Tabla1[[#This Row],[IVA 21%]:[IVA 27%]])</f>
        <v>0</v>
      </c>
      <c r="V260" s="10">
        <f>+SUM(Tabla1[[#This Row],[Neto]:[Impuestos Internos / Otros Tributos]])</f>
        <v>6570</v>
      </c>
      <c r="W260" s="10">
        <f>+Tabla1[[#This Row],[Total]]</f>
        <v>6570</v>
      </c>
      <c r="X260" s="10">
        <v>0</v>
      </c>
      <c r="Y260" s="10" t="s">
        <v>324</v>
      </c>
      <c r="Z260" s="10"/>
      <c r="AA260" s="109">
        <v>45569</v>
      </c>
      <c r="AB260" s="10">
        <v>0</v>
      </c>
      <c r="AH260" s="32">
        <f>+Tabla1[[#This Row],[Total a Pagar]]</f>
        <v>6570</v>
      </c>
      <c r="AJ260" s="188"/>
    </row>
    <row r="261" spans="1:36" x14ac:dyDescent="0.3">
      <c r="A261" s="36" t="s">
        <v>337</v>
      </c>
      <c r="B261" s="55">
        <v>45569</v>
      </c>
      <c r="C261" s="37" t="s">
        <v>26</v>
      </c>
      <c r="D261" s="36" t="s">
        <v>58</v>
      </c>
      <c r="E261" s="45" t="s">
        <v>32</v>
      </c>
      <c r="F261" s="45" t="s">
        <v>475</v>
      </c>
      <c r="G261" s="38" t="s">
        <v>146</v>
      </c>
      <c r="H261" s="38">
        <v>33716385359</v>
      </c>
      <c r="I261" s="38" t="s">
        <v>142</v>
      </c>
      <c r="J261" s="36" t="s">
        <v>381</v>
      </c>
      <c r="K261" s="173">
        <v>1</v>
      </c>
      <c r="L261" s="39">
        <v>40000</v>
      </c>
      <c r="M261" s="39">
        <f>+Tabla1[[#This Row],[Neto]]*21%</f>
        <v>8400</v>
      </c>
      <c r="N261" s="39">
        <v>0</v>
      </c>
      <c r="O261" s="39">
        <v>0</v>
      </c>
      <c r="P261" s="39">
        <v>0</v>
      </c>
      <c r="Q261" s="39">
        <v>0</v>
      </c>
      <c r="R261" s="39">
        <v>0</v>
      </c>
      <c r="S261" s="39">
        <f>+Tabla1[[#This Row],[Neto]]*3.6%</f>
        <v>1440.0000000000002</v>
      </c>
      <c r="T261" s="39">
        <v>0</v>
      </c>
      <c r="U261" s="39">
        <f>+SUM(Tabla1[[#This Row],[IVA 21%]:[IVA 27%]])</f>
        <v>8400</v>
      </c>
      <c r="V261" s="10">
        <f>+SUM(Tabla1[[#This Row],[Neto]:[Impuestos Internos / Otros Tributos]])</f>
        <v>49840</v>
      </c>
      <c r="W261" s="39">
        <f>+Tabla1[[#This Row],[Total]]</f>
        <v>49840</v>
      </c>
      <c r="X261" s="39"/>
      <c r="Y261" s="10" t="s">
        <v>324</v>
      </c>
      <c r="Z261" s="10"/>
      <c r="AA261" s="107">
        <v>45610</v>
      </c>
      <c r="AB261" s="39"/>
      <c r="AC261" s="38"/>
      <c r="AD261" s="38"/>
      <c r="AE261" s="38"/>
      <c r="AF261" s="38"/>
      <c r="AG261" s="38"/>
      <c r="AH261" s="39"/>
      <c r="AI261" s="38"/>
      <c r="AJ261" s="4" t="s">
        <v>963</v>
      </c>
    </row>
    <row r="262" spans="1:36" hidden="1" x14ac:dyDescent="0.3">
      <c r="A262" s="36" t="s">
        <v>337</v>
      </c>
      <c r="B262" s="55">
        <v>45569</v>
      </c>
      <c r="C262" s="37" t="s">
        <v>26</v>
      </c>
      <c r="D262" s="36" t="s">
        <v>27</v>
      </c>
      <c r="E262" s="45" t="s">
        <v>32</v>
      </c>
      <c r="F262" s="45" t="s">
        <v>215</v>
      </c>
      <c r="G262" s="38" t="s">
        <v>254</v>
      </c>
      <c r="H262" s="38">
        <v>27414867486</v>
      </c>
      <c r="I262" s="38" t="s">
        <v>523</v>
      </c>
      <c r="J262" s="36" t="s">
        <v>381</v>
      </c>
      <c r="K262" s="173">
        <v>1</v>
      </c>
      <c r="L262" s="39">
        <v>202800</v>
      </c>
      <c r="M262" s="39">
        <v>0</v>
      </c>
      <c r="N262" s="39">
        <v>0</v>
      </c>
      <c r="O262" s="39">
        <v>0</v>
      </c>
      <c r="P262" s="39">
        <v>0</v>
      </c>
      <c r="Q262" s="39">
        <v>0</v>
      </c>
      <c r="R262" s="39">
        <v>0</v>
      </c>
      <c r="S262" s="39">
        <v>0</v>
      </c>
      <c r="T262" s="39">
        <v>0</v>
      </c>
      <c r="U262" s="39">
        <f>+SUM(Tabla1[[#This Row],[IVA 21%]:[IVA 27%]])</f>
        <v>0</v>
      </c>
      <c r="V262" s="10">
        <f>+SUM(Tabla1[[#This Row],[Neto]:[Impuestos Internos / Otros Tributos]])</f>
        <v>202800</v>
      </c>
      <c r="W262" s="39">
        <f>+Tabla1[[#This Row],[Total]]</f>
        <v>202800</v>
      </c>
      <c r="X262" s="39">
        <v>0</v>
      </c>
      <c r="Y262" s="51" t="s">
        <v>324</v>
      </c>
      <c r="Z262" s="51"/>
      <c r="AA262" s="107">
        <v>45581</v>
      </c>
      <c r="AB262" s="32">
        <f>+Tabla1[[#This Row],[Total a Pagar]]</f>
        <v>202800</v>
      </c>
      <c r="AC262" s="38"/>
      <c r="AD262" s="38"/>
      <c r="AE262" s="38"/>
      <c r="AF262" s="38"/>
      <c r="AG262" s="38"/>
      <c r="AH262" s="39">
        <v>0</v>
      </c>
      <c r="AI262" s="38"/>
      <c r="AJ262" s="188"/>
    </row>
    <row r="263" spans="1:36" hidden="1" x14ac:dyDescent="0.3">
      <c r="A263" s="78" t="s">
        <v>337</v>
      </c>
      <c r="B263" s="79">
        <v>45569</v>
      </c>
      <c r="C263" s="37" t="s">
        <v>434</v>
      </c>
      <c r="D263" s="78" t="s">
        <v>403</v>
      </c>
      <c r="E263" s="85" t="s">
        <v>28</v>
      </c>
      <c r="F263" s="85" t="s">
        <v>588</v>
      </c>
      <c r="G263" s="81" t="s">
        <v>406</v>
      </c>
      <c r="H263" s="81">
        <v>30111111111</v>
      </c>
      <c r="I263" s="81" t="s">
        <v>405</v>
      </c>
      <c r="J263" s="78" t="s">
        <v>381</v>
      </c>
      <c r="K263" s="173">
        <v>1</v>
      </c>
      <c r="L263" s="82">
        <v>16000</v>
      </c>
      <c r="M263" s="82">
        <v>0</v>
      </c>
      <c r="N263" s="82">
        <v>0</v>
      </c>
      <c r="O263" s="82">
        <v>0</v>
      </c>
      <c r="P263" s="82">
        <v>0</v>
      </c>
      <c r="Q263" s="82">
        <v>0</v>
      </c>
      <c r="R263" s="82">
        <v>0</v>
      </c>
      <c r="S263" s="82">
        <v>0</v>
      </c>
      <c r="T263" s="82">
        <v>0</v>
      </c>
      <c r="U263" s="82">
        <f>+SUM(Tabla1[[#This Row],[IVA 21%]:[IVA 27%]])</f>
        <v>0</v>
      </c>
      <c r="V263" s="10">
        <f>+SUM(Tabla1[[#This Row],[Neto]:[Impuestos Internos / Otros Tributos]])</f>
        <v>16000</v>
      </c>
      <c r="W263" s="10">
        <f>+Tabla1[[#This Row],[Total]]</f>
        <v>16000</v>
      </c>
      <c r="X263" s="82">
        <v>0</v>
      </c>
      <c r="Y263" s="83" t="s">
        <v>324</v>
      </c>
      <c r="Z263" s="83"/>
      <c r="AA263" s="108">
        <v>45569</v>
      </c>
      <c r="AB263" s="82">
        <v>0</v>
      </c>
      <c r="AC263" s="81"/>
      <c r="AD263" s="81"/>
      <c r="AE263" s="81"/>
      <c r="AF263" s="81"/>
      <c r="AG263" s="81"/>
      <c r="AH263" s="84">
        <f>+Tabla1[[#This Row],[Total a Pagar]]</f>
        <v>16000</v>
      </c>
      <c r="AI263" s="81"/>
      <c r="AJ263" s="188"/>
    </row>
    <row r="264" spans="1:36" hidden="1" x14ac:dyDescent="0.3">
      <c r="A264" s="8" t="s">
        <v>337</v>
      </c>
      <c r="B264" s="53">
        <v>45572</v>
      </c>
      <c r="C264" s="37" t="s">
        <v>434</v>
      </c>
      <c r="D264" s="8" t="s">
        <v>403</v>
      </c>
      <c r="E264" s="9" t="s">
        <v>28</v>
      </c>
      <c r="F264" s="9" t="s">
        <v>404</v>
      </c>
      <c r="G264" s="4" t="s">
        <v>406</v>
      </c>
      <c r="H264" s="4">
        <v>30111111111</v>
      </c>
      <c r="I264" s="4" t="s">
        <v>405</v>
      </c>
      <c r="J264" s="8" t="s">
        <v>381</v>
      </c>
      <c r="K264" s="173">
        <v>1</v>
      </c>
      <c r="L264" s="10">
        <v>2700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f>+SUM(Tabla1[[#This Row],[IVA 21%]:[IVA 27%]])</f>
        <v>0</v>
      </c>
      <c r="V264" s="10">
        <f>+SUM(Tabla1[[#This Row],[Neto]:[Impuestos Internos / Otros Tributos]])</f>
        <v>2700</v>
      </c>
      <c r="W264" s="10">
        <f>+Tabla1[[#This Row],[Total]]</f>
        <v>2700</v>
      </c>
      <c r="X264" s="10">
        <v>0</v>
      </c>
      <c r="Y264" s="14" t="s">
        <v>324</v>
      </c>
      <c r="Z264" s="14"/>
      <c r="AA264" s="109">
        <v>45572</v>
      </c>
      <c r="AB264" s="10">
        <v>0</v>
      </c>
      <c r="AH264" s="32">
        <f>+Tabla1[[#This Row],[Total a Pagar]]</f>
        <v>2700</v>
      </c>
      <c r="AJ264" s="188"/>
    </row>
    <row r="265" spans="1:36" hidden="1" x14ac:dyDescent="0.3">
      <c r="A265" s="8" t="s">
        <v>337</v>
      </c>
      <c r="B265" s="53">
        <v>45572</v>
      </c>
      <c r="C265" s="12" t="s">
        <v>434</v>
      </c>
      <c r="D265" s="8" t="s">
        <v>27</v>
      </c>
      <c r="E265" s="9" t="s">
        <v>37</v>
      </c>
      <c r="F265" s="9" t="s">
        <v>435</v>
      </c>
      <c r="G265" s="4" t="s">
        <v>436</v>
      </c>
      <c r="H265" s="4">
        <v>20340077904</v>
      </c>
      <c r="I265" s="4" t="s">
        <v>437</v>
      </c>
      <c r="J265" s="8" t="s">
        <v>381</v>
      </c>
      <c r="K265" s="173">
        <v>1</v>
      </c>
      <c r="L265" s="10">
        <v>441377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f>+SUM(Tabla1[[#This Row],[IVA 21%]:[IVA 27%]])</f>
        <v>0</v>
      </c>
      <c r="V265" s="10">
        <f>+SUM(Tabla1[[#This Row],[Neto]:[Impuestos Internos / Otros Tributos]])</f>
        <v>441377</v>
      </c>
      <c r="W265" s="10">
        <f>+Tabla1[[#This Row],[Total]]</f>
        <v>441377</v>
      </c>
      <c r="X265" s="10">
        <v>0</v>
      </c>
      <c r="Y265" s="10" t="s">
        <v>324</v>
      </c>
      <c r="Z265" s="10"/>
      <c r="AA265" s="109">
        <v>45573</v>
      </c>
      <c r="AB265" s="32">
        <f>+Tabla1[[#This Row],[Total a Pagar]]</f>
        <v>441377</v>
      </c>
      <c r="AH265" s="10">
        <v>0</v>
      </c>
      <c r="AJ265" s="188"/>
    </row>
    <row r="266" spans="1:36" hidden="1" x14ac:dyDescent="0.3">
      <c r="A266" s="78" t="s">
        <v>337</v>
      </c>
      <c r="B266" s="79">
        <v>45572</v>
      </c>
      <c r="C266" s="80" t="s">
        <v>26</v>
      </c>
      <c r="D266" s="8" t="s">
        <v>58</v>
      </c>
      <c r="E266" s="9" t="s">
        <v>32</v>
      </c>
      <c r="F266" s="9" t="s">
        <v>626</v>
      </c>
      <c r="G266" s="81" t="s">
        <v>212</v>
      </c>
      <c r="H266" s="4">
        <v>30709462306</v>
      </c>
      <c r="I266" s="4" t="s">
        <v>627</v>
      </c>
      <c r="J266" s="8" t="s">
        <v>381</v>
      </c>
      <c r="K266" s="173">
        <v>1</v>
      </c>
      <c r="L266" s="82">
        <v>554203.15</v>
      </c>
      <c r="M266" s="82">
        <f>+Tabla1[[#This Row],[Neto]]*21%</f>
        <v>116382.6615</v>
      </c>
      <c r="N266" s="82">
        <v>0</v>
      </c>
      <c r="O266" s="82">
        <v>0</v>
      </c>
      <c r="P266" s="82">
        <v>0</v>
      </c>
      <c r="Q266" s="82">
        <v>0</v>
      </c>
      <c r="R266" s="82">
        <v>0</v>
      </c>
      <c r="S266" s="82">
        <v>0</v>
      </c>
      <c r="T266" s="82"/>
      <c r="U266" s="82">
        <f>+SUM(Tabla1[[#This Row],[IVA 21%]:[IVA 27%]])</f>
        <v>116382.6615</v>
      </c>
      <c r="V266" s="10">
        <f>+SUM(Tabla1[[#This Row],[Neto]:[Impuestos Internos / Otros Tributos]])</f>
        <v>670585.81150000007</v>
      </c>
      <c r="W266" s="10">
        <f>+Tabla1[[#This Row],[Total]]</f>
        <v>670585.81150000007</v>
      </c>
      <c r="X266" s="82">
        <v>6604.06</v>
      </c>
      <c r="Y266" s="49" t="s">
        <v>324</v>
      </c>
      <c r="AA266" s="108">
        <v>45624</v>
      </c>
      <c r="AB266" s="82">
        <f>+Tabla1[[#This Row],[Total a Pagar]]-Tabla1[[#This Row],[SICORE]]</f>
        <v>663981.75150000001</v>
      </c>
      <c r="AC266" s="81"/>
      <c r="AD266" s="81"/>
      <c r="AE266" s="81"/>
      <c r="AF266" s="81"/>
      <c r="AG266" s="81"/>
      <c r="AH266" s="82">
        <v>0</v>
      </c>
      <c r="AI266" s="81"/>
      <c r="AJ266" s="188"/>
    </row>
    <row r="267" spans="1:36" hidden="1" x14ac:dyDescent="0.3">
      <c r="A267" s="78" t="s">
        <v>337</v>
      </c>
      <c r="B267" s="79">
        <v>45572</v>
      </c>
      <c r="C267" s="12" t="s">
        <v>26</v>
      </c>
      <c r="D267" s="8" t="s">
        <v>58</v>
      </c>
      <c r="E267" s="9" t="s">
        <v>639</v>
      </c>
      <c r="F267" s="9" t="s">
        <v>640</v>
      </c>
      <c r="G267" s="81" t="s">
        <v>202</v>
      </c>
      <c r="H267" s="4">
        <v>33715472649</v>
      </c>
      <c r="I267" s="4" t="s">
        <v>203</v>
      </c>
      <c r="J267" s="8" t="s">
        <v>381</v>
      </c>
      <c r="K267" s="173">
        <v>1</v>
      </c>
      <c r="L267" s="82">
        <v>16528.93</v>
      </c>
      <c r="M267" s="82">
        <f>+Tabla1[[#This Row],[Neto]]*21%</f>
        <v>3471.0753</v>
      </c>
      <c r="N267" s="82">
        <v>0</v>
      </c>
      <c r="O267" s="82">
        <v>0</v>
      </c>
      <c r="P267" s="82">
        <v>0</v>
      </c>
      <c r="Q267" s="82">
        <v>0</v>
      </c>
      <c r="R267" s="82">
        <v>0</v>
      </c>
      <c r="S267" s="82">
        <f>+Tabla1[[#This Row],[Neto]]*3.6%</f>
        <v>595.04148000000009</v>
      </c>
      <c r="T267" s="82">
        <v>0</v>
      </c>
      <c r="U267" s="82">
        <f>+SUM(Tabla1[[#This Row],[IVA 21%]:[IVA 27%]])</f>
        <v>3471.0753</v>
      </c>
      <c r="V267" s="10">
        <f>+SUM(Tabla1[[#This Row],[Neto]:[Impuestos Internos / Otros Tributos]])</f>
        <v>20595.046780000001</v>
      </c>
      <c r="W267" s="10">
        <f>+Tabla1[[#This Row],[Total]]</f>
        <v>20595.046780000001</v>
      </c>
      <c r="X267" s="82">
        <v>0</v>
      </c>
      <c r="Y267" s="10" t="s">
        <v>324</v>
      </c>
      <c r="Z267" s="10"/>
      <c r="AA267" s="108">
        <v>45572</v>
      </c>
      <c r="AB267" s="82">
        <v>0</v>
      </c>
      <c r="AC267" s="81"/>
      <c r="AD267" s="81"/>
      <c r="AE267" s="81"/>
      <c r="AF267" s="81"/>
      <c r="AG267" s="81"/>
      <c r="AH267" s="84">
        <f>+Tabla1[[#This Row],[Total a Pagar]]</f>
        <v>20595.046780000001</v>
      </c>
      <c r="AI267" s="81"/>
      <c r="AJ267" s="188"/>
    </row>
    <row r="268" spans="1:36" hidden="1" x14ac:dyDescent="0.3">
      <c r="A268" s="78" t="s">
        <v>337</v>
      </c>
      <c r="B268" s="79">
        <v>45572</v>
      </c>
      <c r="C268" s="37" t="s">
        <v>434</v>
      </c>
      <c r="D268" s="78" t="s">
        <v>403</v>
      </c>
      <c r="E268" s="85" t="s">
        <v>28</v>
      </c>
      <c r="F268" s="85" t="s">
        <v>45</v>
      </c>
      <c r="G268" s="81" t="s">
        <v>406</v>
      </c>
      <c r="H268" s="81">
        <v>30111111111</v>
      </c>
      <c r="I268" s="81" t="s">
        <v>405</v>
      </c>
      <c r="J268" s="78" t="s">
        <v>381</v>
      </c>
      <c r="K268" s="173">
        <v>1</v>
      </c>
      <c r="L268" s="82">
        <v>13000</v>
      </c>
      <c r="M268" s="82">
        <v>0</v>
      </c>
      <c r="N268" s="82">
        <v>0</v>
      </c>
      <c r="O268" s="82">
        <v>0</v>
      </c>
      <c r="P268" s="82">
        <v>0</v>
      </c>
      <c r="Q268" s="82">
        <v>0</v>
      </c>
      <c r="R268" s="82">
        <v>0</v>
      </c>
      <c r="S268" s="82">
        <v>0</v>
      </c>
      <c r="T268" s="82">
        <v>0</v>
      </c>
      <c r="U268" s="82">
        <f>+SUM(Tabla1[[#This Row],[IVA 21%]:[IVA 27%]])</f>
        <v>0</v>
      </c>
      <c r="V268" s="10">
        <f>+SUM(Tabla1[[#This Row],[Neto]:[Impuestos Internos / Otros Tributos]])</f>
        <v>13000</v>
      </c>
      <c r="W268" s="10">
        <f>+Tabla1[[#This Row],[Total]]</f>
        <v>13000</v>
      </c>
      <c r="X268" s="82">
        <v>0</v>
      </c>
      <c r="Y268" s="83" t="s">
        <v>324</v>
      </c>
      <c r="Z268" s="83"/>
      <c r="AA268" s="108">
        <v>45572</v>
      </c>
      <c r="AB268" s="82">
        <v>0</v>
      </c>
      <c r="AC268" s="81"/>
      <c r="AD268" s="81"/>
      <c r="AE268" s="81"/>
      <c r="AF268" s="81"/>
      <c r="AG268" s="81"/>
      <c r="AH268" s="84">
        <f>+Tabla1[[#This Row],[Total a Pagar]]</f>
        <v>13000</v>
      </c>
      <c r="AI268" s="81"/>
      <c r="AJ268" s="188"/>
    </row>
    <row r="269" spans="1:36" hidden="1" x14ac:dyDescent="0.3">
      <c r="A269" s="78" t="s">
        <v>337</v>
      </c>
      <c r="B269" s="79">
        <v>45572</v>
      </c>
      <c r="C269" s="80" t="s">
        <v>641</v>
      </c>
      <c r="D269" s="78"/>
      <c r="E269" s="78"/>
      <c r="F269" s="78"/>
      <c r="G269" s="81" t="s">
        <v>406</v>
      </c>
      <c r="H269" s="81">
        <v>30111111111</v>
      </c>
      <c r="I269" s="81" t="s">
        <v>642</v>
      </c>
      <c r="J269" s="78" t="s">
        <v>381</v>
      </c>
      <c r="K269" s="173">
        <v>1</v>
      </c>
      <c r="L269" s="82">
        <v>8000</v>
      </c>
      <c r="M269" s="82">
        <v>0</v>
      </c>
      <c r="N269" s="82">
        <v>0</v>
      </c>
      <c r="O269" s="82">
        <v>0</v>
      </c>
      <c r="P269" s="82">
        <v>0</v>
      </c>
      <c r="Q269" s="82">
        <v>0</v>
      </c>
      <c r="R269" s="82">
        <v>0</v>
      </c>
      <c r="S269" s="82">
        <v>0</v>
      </c>
      <c r="T269" s="82">
        <v>0</v>
      </c>
      <c r="U269" s="82">
        <f>+SUM(Tabla1[[#This Row],[IVA 21%]:[IVA 27%]])</f>
        <v>0</v>
      </c>
      <c r="V269" s="10">
        <f>+SUM(Tabla1[[#This Row],[Neto]:[Impuestos Internos / Otros Tributos]])</f>
        <v>8000</v>
      </c>
      <c r="W269" s="10">
        <f>+Tabla1[[#This Row],[Total]]</f>
        <v>8000</v>
      </c>
      <c r="X269" s="82">
        <v>0</v>
      </c>
      <c r="Y269" s="83" t="s">
        <v>324</v>
      </c>
      <c r="Z269" s="83"/>
      <c r="AA269" s="108">
        <v>45572</v>
      </c>
      <c r="AB269" s="82">
        <v>0</v>
      </c>
      <c r="AC269" s="81"/>
      <c r="AD269" s="81"/>
      <c r="AE269" s="81"/>
      <c r="AF269" s="81"/>
      <c r="AG269" s="81"/>
      <c r="AH269" s="84">
        <f>+Tabla1[[#This Row],[Total a Pagar]]</f>
        <v>8000</v>
      </c>
      <c r="AI269" s="81"/>
      <c r="AJ269" s="188"/>
    </row>
    <row r="270" spans="1:36" hidden="1" x14ac:dyDescent="0.3">
      <c r="A270" s="78" t="s">
        <v>337</v>
      </c>
      <c r="B270" s="79">
        <v>45572</v>
      </c>
      <c r="C270" s="12" t="s">
        <v>26</v>
      </c>
      <c r="D270" s="8" t="s">
        <v>27</v>
      </c>
      <c r="E270" s="9" t="s">
        <v>37</v>
      </c>
      <c r="F270" s="9" t="s">
        <v>643</v>
      </c>
      <c r="G270" s="81" t="s">
        <v>78</v>
      </c>
      <c r="H270" s="4">
        <v>20105424605</v>
      </c>
      <c r="I270" s="4" t="s">
        <v>277</v>
      </c>
      <c r="J270" s="8" t="s">
        <v>381</v>
      </c>
      <c r="K270" s="173">
        <v>1</v>
      </c>
      <c r="L270" s="82">
        <v>17130</v>
      </c>
      <c r="M270" s="82">
        <v>0</v>
      </c>
      <c r="N270" s="82">
        <v>0</v>
      </c>
      <c r="O270" s="82">
        <v>0</v>
      </c>
      <c r="P270" s="82">
        <v>0</v>
      </c>
      <c r="Q270" s="82">
        <v>0</v>
      </c>
      <c r="R270" s="82">
        <v>0</v>
      </c>
      <c r="S270" s="82">
        <v>0</v>
      </c>
      <c r="T270" s="82">
        <v>0</v>
      </c>
      <c r="U270" s="82">
        <f>+SUM(Tabla1[[#This Row],[IVA 21%]:[IVA 27%]])</f>
        <v>0</v>
      </c>
      <c r="V270" s="10">
        <f>+SUM(Tabla1[[#This Row],[Neto]:[Impuestos Internos / Otros Tributos]])</f>
        <v>17130</v>
      </c>
      <c r="W270" s="10">
        <f>+Tabla1[[#This Row],[Total]]</f>
        <v>17130</v>
      </c>
      <c r="X270" s="82">
        <v>0</v>
      </c>
      <c r="Y270" s="83" t="s">
        <v>324</v>
      </c>
      <c r="Z270" s="83"/>
      <c r="AA270" s="108">
        <v>45572</v>
      </c>
      <c r="AB270" s="82">
        <v>0</v>
      </c>
      <c r="AC270" s="81"/>
      <c r="AD270" s="81"/>
      <c r="AE270" s="81"/>
      <c r="AF270" s="81"/>
      <c r="AG270" s="81"/>
      <c r="AH270" s="84">
        <f>+Tabla1[[#This Row],[Total a Pagar]]</f>
        <v>17130</v>
      </c>
      <c r="AI270" s="81"/>
      <c r="AJ270" s="188"/>
    </row>
    <row r="271" spans="1:36" hidden="1" x14ac:dyDescent="0.3">
      <c r="A271" s="8" t="s">
        <v>337</v>
      </c>
      <c r="B271" s="53">
        <v>45572</v>
      </c>
      <c r="C271" s="12" t="s">
        <v>26</v>
      </c>
      <c r="D271" s="8" t="s">
        <v>58</v>
      </c>
      <c r="E271" s="9" t="s">
        <v>74</v>
      </c>
      <c r="F271" s="9" t="s">
        <v>704</v>
      </c>
      <c r="G271" s="4" t="s">
        <v>129</v>
      </c>
      <c r="H271" s="4">
        <v>30717926966</v>
      </c>
      <c r="I271" s="4" t="s">
        <v>666</v>
      </c>
      <c r="J271" s="8" t="s">
        <v>381</v>
      </c>
      <c r="K271" s="173">
        <v>1</v>
      </c>
      <c r="L271" s="10">
        <v>218181.9</v>
      </c>
      <c r="M271" s="10">
        <f>+Tabla1[[#This Row],[Neto]]*21%</f>
        <v>45818.199000000001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f>+SUM(Tabla1[[#This Row],[IVA 21%]:[IVA 27%]])</f>
        <v>45818.199000000001</v>
      </c>
      <c r="V271" s="10">
        <f>+SUM(Tabla1[[#This Row],[Neto]:[Impuestos Internos / Otros Tributos]])</f>
        <v>264000.09899999999</v>
      </c>
      <c r="W271" s="10">
        <f>+Tabla1[[#This Row],[Total]]</f>
        <v>264000.09899999999</v>
      </c>
      <c r="X271" s="10">
        <v>0</v>
      </c>
      <c r="Y271" s="49" t="s">
        <v>324</v>
      </c>
      <c r="AA271" s="109">
        <v>45609</v>
      </c>
      <c r="AB271" s="32">
        <f>+Tabla1[[#This Row],[Total a Pagar]]</f>
        <v>264000.09899999999</v>
      </c>
      <c r="AH271" s="10">
        <v>0</v>
      </c>
      <c r="AJ271" s="188"/>
    </row>
    <row r="272" spans="1:36" hidden="1" x14ac:dyDescent="0.3">
      <c r="A272" s="8" t="s">
        <v>337</v>
      </c>
      <c r="B272" s="53">
        <v>45572</v>
      </c>
      <c r="C272" s="12" t="s">
        <v>26</v>
      </c>
      <c r="D272" s="8" t="s">
        <v>27</v>
      </c>
      <c r="E272" s="9" t="s">
        <v>32</v>
      </c>
      <c r="F272" s="9" t="s">
        <v>792</v>
      </c>
      <c r="G272" s="4" t="s">
        <v>793</v>
      </c>
      <c r="H272" s="4">
        <v>20139171927</v>
      </c>
      <c r="I272" s="4" t="s">
        <v>794</v>
      </c>
      <c r="J272" s="8" t="s">
        <v>381</v>
      </c>
      <c r="K272" s="173">
        <v>1</v>
      </c>
      <c r="L272" s="10">
        <v>12000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f>+SUM(Tabla1[[#This Row],[IVA 21%]:[IVA 27%]])</f>
        <v>0</v>
      </c>
      <c r="V272" s="10">
        <f>+SUM(Tabla1[[#This Row],[Neto]:[Impuestos Internos / Otros Tributos]])</f>
        <v>12000</v>
      </c>
      <c r="W272" s="10">
        <f>+Tabla1[[#This Row],[Total]]</f>
        <v>12000</v>
      </c>
      <c r="X272" s="10"/>
      <c r="Y272" s="49" t="s">
        <v>325</v>
      </c>
      <c r="AA272" s="109"/>
      <c r="AJ272" s="188"/>
    </row>
    <row r="273" spans="1:36" x14ac:dyDescent="0.3">
      <c r="A273" s="36" t="s">
        <v>337</v>
      </c>
      <c r="B273" s="55">
        <v>45573</v>
      </c>
      <c r="C273" s="37" t="s">
        <v>26</v>
      </c>
      <c r="D273" s="36" t="s">
        <v>58</v>
      </c>
      <c r="E273" s="45" t="s">
        <v>32</v>
      </c>
      <c r="F273" s="45" t="s">
        <v>476</v>
      </c>
      <c r="G273" s="38" t="s">
        <v>146</v>
      </c>
      <c r="H273" s="38">
        <v>33716385359</v>
      </c>
      <c r="I273" s="38" t="s">
        <v>142</v>
      </c>
      <c r="J273" s="36" t="s">
        <v>381</v>
      </c>
      <c r="K273" s="173">
        <v>1</v>
      </c>
      <c r="L273" s="39">
        <v>1461050</v>
      </c>
      <c r="M273" s="39">
        <f>+Tabla1[[#This Row],[Neto]]*21%</f>
        <v>306820.5</v>
      </c>
      <c r="N273" s="39">
        <v>0</v>
      </c>
      <c r="O273" s="39">
        <v>0</v>
      </c>
      <c r="P273" s="39">
        <v>0</v>
      </c>
      <c r="Q273" s="39">
        <v>680100</v>
      </c>
      <c r="R273" s="39">
        <v>0</v>
      </c>
      <c r="S273" s="39">
        <f>+(Tabla1[[#This Row],[Exento]]+Tabla1[[#This Row],[Neto]])*3.6%</f>
        <v>77081.400000000009</v>
      </c>
      <c r="T273" s="39">
        <v>0</v>
      </c>
      <c r="U273" s="39">
        <f>+SUM(Tabla1[[#This Row],[IVA 21%]:[IVA 27%]])</f>
        <v>306820.5</v>
      </c>
      <c r="V273" s="10">
        <f>+SUM(Tabla1[[#This Row],[Neto]:[Impuestos Internos / Otros Tributos]])</f>
        <v>2525051.9</v>
      </c>
      <c r="W273" s="39">
        <f>+Tabla1[[#This Row],[Total]]</f>
        <v>2525051.9</v>
      </c>
      <c r="X273" s="39"/>
      <c r="Y273" s="10" t="s">
        <v>324</v>
      </c>
      <c r="Z273" s="10"/>
      <c r="AA273" s="107">
        <v>45610</v>
      </c>
      <c r="AB273" s="39"/>
      <c r="AC273" s="38"/>
      <c r="AD273" s="38"/>
      <c r="AE273" s="38"/>
      <c r="AF273" s="38"/>
      <c r="AG273" s="38"/>
      <c r="AH273" s="39"/>
      <c r="AI273" s="38"/>
      <c r="AJ273" s="4" t="s">
        <v>963</v>
      </c>
    </row>
    <row r="274" spans="1:36" hidden="1" x14ac:dyDescent="0.3">
      <c r="A274" s="36" t="s">
        <v>337</v>
      </c>
      <c r="B274" s="55">
        <v>45573</v>
      </c>
      <c r="C274" s="37" t="s">
        <v>26</v>
      </c>
      <c r="D274" s="36" t="s">
        <v>58</v>
      </c>
      <c r="E274" s="45" t="s">
        <v>28</v>
      </c>
      <c r="F274" s="45" t="s">
        <v>169</v>
      </c>
      <c r="G274" s="38" t="s">
        <v>483</v>
      </c>
      <c r="H274" s="38">
        <v>33718560999</v>
      </c>
      <c r="I274" s="4" t="s">
        <v>556</v>
      </c>
      <c r="J274" s="36" t="s">
        <v>381</v>
      </c>
      <c r="K274" s="173">
        <v>1</v>
      </c>
      <c r="L274" s="39">
        <v>192971.67</v>
      </c>
      <c r="M274" s="39">
        <f>+Tabla1[[#This Row],[Neto]]*21%</f>
        <v>40524.0507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f>+SUM(Tabla1[[#This Row],[IVA 21%]:[IVA 27%]])</f>
        <v>40524.0507</v>
      </c>
      <c r="V274" s="10">
        <f>+SUM(Tabla1[[#This Row],[Neto]:[Impuestos Internos / Otros Tributos]])</f>
        <v>233495.72070000001</v>
      </c>
      <c r="W274" s="39">
        <f>+Tabla1[[#This Row],[Total]]</f>
        <v>233495.72070000001</v>
      </c>
      <c r="X274" s="39">
        <v>0</v>
      </c>
      <c r="Y274" s="51" t="s">
        <v>324</v>
      </c>
      <c r="Z274" s="51"/>
      <c r="AA274" s="107">
        <v>45575</v>
      </c>
      <c r="AB274" s="50">
        <f>+Tabla1[[#This Row],[Total a Pagar]]</f>
        <v>233495.72070000001</v>
      </c>
      <c r="AC274" s="38"/>
      <c r="AD274" s="38"/>
      <c r="AE274" s="38"/>
      <c r="AF274" s="38"/>
      <c r="AG274" s="38"/>
      <c r="AH274" s="39">
        <v>0</v>
      </c>
      <c r="AI274" s="38"/>
      <c r="AJ274" s="188"/>
    </row>
    <row r="275" spans="1:36" hidden="1" x14ac:dyDescent="0.3">
      <c r="A275" s="8" t="s">
        <v>337</v>
      </c>
      <c r="B275" s="53">
        <v>45573</v>
      </c>
      <c r="C275" s="12" t="s">
        <v>26</v>
      </c>
      <c r="D275" s="8" t="s">
        <v>58</v>
      </c>
      <c r="E275" s="9" t="s">
        <v>151</v>
      </c>
      <c r="F275" s="9" t="s">
        <v>644</v>
      </c>
      <c r="G275" s="4" t="s">
        <v>619</v>
      </c>
      <c r="H275" s="4">
        <v>33708183429</v>
      </c>
      <c r="I275" s="4" t="s">
        <v>645</v>
      </c>
      <c r="J275" s="8" t="s">
        <v>381</v>
      </c>
      <c r="K275" s="173">
        <v>1</v>
      </c>
      <c r="L275" s="10">
        <v>2892.55</v>
      </c>
      <c r="M275" s="10">
        <f>+Tabla1[[#This Row],[Neto]]*21%</f>
        <v>607.43550000000005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f>+SUM(Tabla1[[#This Row],[IVA 21%]:[IVA 27%]])</f>
        <v>607.43550000000005</v>
      </c>
      <c r="V275" s="10">
        <f>+SUM(Tabla1[[#This Row],[Neto]:[Impuestos Internos / Otros Tributos]])</f>
        <v>3499.9855000000002</v>
      </c>
      <c r="W275" s="10">
        <f>+Tabla1[[#This Row],[Total]]</f>
        <v>3499.9855000000002</v>
      </c>
      <c r="X275" s="10">
        <v>0</v>
      </c>
      <c r="Y275" s="49" t="s">
        <v>324</v>
      </c>
      <c r="AA275" s="109">
        <v>45573</v>
      </c>
      <c r="AB275" s="10">
        <v>0</v>
      </c>
      <c r="AH275" s="86">
        <f>+Tabla1[[#This Row],[Total a Pagar]]</f>
        <v>3499.9855000000002</v>
      </c>
      <c r="AJ275" s="188"/>
    </row>
    <row r="276" spans="1:36" hidden="1" x14ac:dyDescent="0.3">
      <c r="A276" s="8" t="s">
        <v>337</v>
      </c>
      <c r="B276" s="53">
        <v>45573</v>
      </c>
      <c r="C276" s="12" t="s">
        <v>26</v>
      </c>
      <c r="D276" s="8" t="s">
        <v>58</v>
      </c>
      <c r="E276" s="9">
        <v>1326</v>
      </c>
      <c r="F276" s="9" t="s">
        <v>751</v>
      </c>
      <c r="G276" s="4" t="s">
        <v>89</v>
      </c>
      <c r="H276" s="4">
        <v>30663288497</v>
      </c>
      <c r="I276" s="4" t="s">
        <v>275</v>
      </c>
      <c r="J276" s="8" t="s">
        <v>381</v>
      </c>
      <c r="K276" s="173">
        <v>1</v>
      </c>
      <c r="L276" s="10">
        <v>51456.72</v>
      </c>
      <c r="M276" s="10">
        <v>6983.97</v>
      </c>
      <c r="N276" s="10">
        <v>0</v>
      </c>
      <c r="O276" s="10">
        <v>4913.92</v>
      </c>
      <c r="P276" s="10">
        <v>0</v>
      </c>
      <c r="Q276" s="10">
        <v>0</v>
      </c>
      <c r="R276" s="10">
        <f>+Tabla1[[#This Row],[Neto]]*3%</f>
        <v>1543.7015999999999</v>
      </c>
      <c r="S276" s="10">
        <f>+Tabla1[[#This Row],[Neto]]*3.6%</f>
        <v>1852.4419200000002</v>
      </c>
      <c r="T276" s="10">
        <v>903</v>
      </c>
      <c r="U276" s="10">
        <f>+SUM(Tabla1[[#This Row],[IVA 21%]:[IVA 27%]])</f>
        <v>11897.89</v>
      </c>
      <c r="V276" s="10">
        <f>+SUM(Tabla1[[#This Row],[Neto]:[Impuestos Internos / Otros Tributos]])</f>
        <v>67653.753519999998</v>
      </c>
      <c r="W276" s="10">
        <f>+Tabla1[[#This Row],[Total]]</f>
        <v>67653.753519999998</v>
      </c>
      <c r="X276" s="10">
        <v>0</v>
      </c>
      <c r="Y276" s="49" t="s">
        <v>325</v>
      </c>
      <c r="AA276" s="109"/>
      <c r="AJ276" s="188"/>
    </row>
    <row r="277" spans="1:36" hidden="1" x14ac:dyDescent="0.3">
      <c r="A277" s="78" t="s">
        <v>337</v>
      </c>
      <c r="B277" s="79">
        <v>45573</v>
      </c>
      <c r="C277" s="12" t="s">
        <v>26</v>
      </c>
      <c r="D277" s="8" t="s">
        <v>58</v>
      </c>
      <c r="E277" s="9" t="s">
        <v>113</v>
      </c>
      <c r="F277" s="9" t="s">
        <v>755</v>
      </c>
      <c r="G277" s="4" t="s">
        <v>690</v>
      </c>
      <c r="H277" s="81">
        <v>20304199483</v>
      </c>
      <c r="I277" s="4" t="s">
        <v>756</v>
      </c>
      <c r="J277" s="8" t="s">
        <v>381</v>
      </c>
      <c r="K277" s="173">
        <v>1</v>
      </c>
      <c r="L277" s="10">
        <v>3471.06</v>
      </c>
      <c r="M277" s="10">
        <f>+Tabla1[[#This Row],[Neto]]*21%</f>
        <v>728.92259999999999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0.02</v>
      </c>
      <c r="U277" s="10">
        <f>+SUM(Tabla1[[#This Row],[IVA 21%]:[IVA 27%]])</f>
        <v>728.92259999999999</v>
      </c>
      <c r="V277" s="10">
        <f>+SUM(Tabla1[[#This Row],[Neto]:[Impuestos Internos / Otros Tributos]])</f>
        <v>4200.0026000000007</v>
      </c>
      <c r="W277" s="10">
        <f>+Tabla1[[#This Row],[Total]]</f>
        <v>4200.0026000000007</v>
      </c>
      <c r="X277" s="10">
        <v>0</v>
      </c>
      <c r="Y277" s="49" t="s">
        <v>324</v>
      </c>
      <c r="AA277" s="109">
        <v>45573</v>
      </c>
      <c r="AB277" s="10">
        <v>0</v>
      </c>
      <c r="AH277" s="32">
        <f>+Tabla1[[#This Row],[Total a Pagar]]</f>
        <v>4200.0026000000007</v>
      </c>
      <c r="AJ277" s="188"/>
    </row>
    <row r="278" spans="1:36" hidden="1" x14ac:dyDescent="0.3">
      <c r="A278" s="8" t="s">
        <v>337</v>
      </c>
      <c r="B278" s="53">
        <v>45573</v>
      </c>
      <c r="C278" s="12" t="s">
        <v>26</v>
      </c>
      <c r="D278" s="8" t="s">
        <v>58</v>
      </c>
      <c r="E278" s="9" t="s">
        <v>757</v>
      </c>
      <c r="F278" s="9" t="s">
        <v>758</v>
      </c>
      <c r="G278" s="4" t="s">
        <v>759</v>
      </c>
      <c r="H278" s="4">
        <v>30644685906</v>
      </c>
      <c r="I278" s="4" t="s">
        <v>203</v>
      </c>
      <c r="J278" s="8" t="s">
        <v>381</v>
      </c>
      <c r="K278" s="173">
        <v>1</v>
      </c>
      <c r="L278" s="10">
        <v>24574.38</v>
      </c>
      <c r="M278" s="10">
        <f>+Tabla1[[#This Row],[Neto]]*21%</f>
        <v>5160.6198000000004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1228.72</v>
      </c>
      <c r="T278" s="10">
        <v>0</v>
      </c>
      <c r="U278" s="10">
        <f>+SUM(Tabla1[[#This Row],[IVA 21%]:[IVA 27%]])</f>
        <v>5160.6198000000004</v>
      </c>
      <c r="V278" s="10">
        <f>+SUM(Tabla1[[#This Row],[Neto]:[Impuestos Internos / Otros Tributos]])</f>
        <v>30963.719800000003</v>
      </c>
      <c r="W278" s="10">
        <f>+Tabla1[[#This Row],[Total]]</f>
        <v>30963.719800000003</v>
      </c>
      <c r="X278" s="10">
        <v>0</v>
      </c>
      <c r="Y278" s="49" t="s">
        <v>324</v>
      </c>
      <c r="AA278" s="109">
        <v>45573</v>
      </c>
      <c r="AB278" s="10">
        <v>0</v>
      </c>
      <c r="AH278" s="32">
        <f>+Tabla1[[#This Row],[Total a Pagar]]</f>
        <v>30963.719800000003</v>
      </c>
      <c r="AJ278" s="188"/>
    </row>
    <row r="279" spans="1:36" hidden="1" x14ac:dyDescent="0.3">
      <c r="A279" s="8" t="s">
        <v>337</v>
      </c>
      <c r="B279" s="53">
        <v>45574</v>
      </c>
      <c r="C279" s="12" t="s">
        <v>26</v>
      </c>
      <c r="D279" s="8" t="s">
        <v>58</v>
      </c>
      <c r="E279" s="9" t="s">
        <v>74</v>
      </c>
      <c r="F279" s="9" t="s">
        <v>468</v>
      </c>
      <c r="G279" s="4" t="s">
        <v>363</v>
      </c>
      <c r="H279" s="4">
        <v>30716688735</v>
      </c>
      <c r="I279" s="4" t="s">
        <v>142</v>
      </c>
      <c r="J279" s="8" t="s">
        <v>381</v>
      </c>
      <c r="K279" s="173">
        <v>1</v>
      </c>
      <c r="L279" s="10">
        <v>141067.87</v>
      </c>
      <c r="M279" s="10">
        <v>0</v>
      </c>
      <c r="N279" s="10">
        <f>+Tabla1[[#This Row],[Neto]]*10.5%</f>
        <v>14812.126349999999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/>
      <c r="U279" s="10">
        <f>+SUM(Tabla1[[#This Row],[IVA 21%]:[IVA 27%]])</f>
        <v>14812.126349999999</v>
      </c>
      <c r="V279" s="10">
        <f>+SUM(Tabla1[[#This Row],[Neto]:[Impuestos Internos / Otros Tributos]])</f>
        <v>155879.99635</v>
      </c>
      <c r="W279" s="39">
        <f>+Tabla1[[#This Row],[Total]]</f>
        <v>155879.99635</v>
      </c>
      <c r="X279" s="10">
        <v>0</v>
      </c>
      <c r="Y279" s="49" t="s">
        <v>324</v>
      </c>
      <c r="AA279" s="109">
        <v>45625</v>
      </c>
      <c r="AJ279" s="188"/>
    </row>
    <row r="280" spans="1:36" hidden="1" x14ac:dyDescent="0.3">
      <c r="A280" s="36" t="s">
        <v>337</v>
      </c>
      <c r="B280" s="55">
        <v>45574</v>
      </c>
      <c r="C280" s="12" t="s">
        <v>26</v>
      </c>
      <c r="D280" s="8" t="s">
        <v>58</v>
      </c>
      <c r="E280" s="9" t="s">
        <v>32</v>
      </c>
      <c r="F280" s="9" t="s">
        <v>225</v>
      </c>
      <c r="G280" s="38" t="s">
        <v>479</v>
      </c>
      <c r="H280" s="38">
        <v>20291360581</v>
      </c>
      <c r="I280" s="38" t="s">
        <v>480</v>
      </c>
      <c r="J280" s="36" t="s">
        <v>381</v>
      </c>
      <c r="K280" s="173">
        <v>1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371696.85</v>
      </c>
      <c r="R280" s="39">
        <v>0</v>
      </c>
      <c r="S280" s="39">
        <v>0</v>
      </c>
      <c r="T280" s="39">
        <v>0</v>
      </c>
      <c r="U280" s="39">
        <f>+SUM(Tabla1[[#This Row],[IVA 21%]:[IVA 27%]])</f>
        <v>0</v>
      </c>
      <c r="V280" s="10">
        <f>+SUM(Tabla1[[#This Row],[Neto]:[Impuestos Internos / Otros Tributos]])</f>
        <v>371696.85</v>
      </c>
      <c r="W280" s="10">
        <f>+Tabla1[[#This Row],[Total]]</f>
        <v>371696.85</v>
      </c>
      <c r="X280" s="39">
        <v>0</v>
      </c>
      <c r="Y280" s="51" t="s">
        <v>324</v>
      </c>
      <c r="Z280" s="51"/>
      <c r="AA280" s="107"/>
      <c r="AB280" s="39"/>
      <c r="AC280" s="38"/>
      <c r="AD280" s="38"/>
      <c r="AE280" s="38"/>
      <c r="AF280" s="38"/>
      <c r="AG280" s="38"/>
      <c r="AH280" s="39"/>
      <c r="AI280" s="38"/>
      <c r="AJ280" s="188"/>
    </row>
    <row r="281" spans="1:36" hidden="1" x14ac:dyDescent="0.3">
      <c r="A281" s="36" t="s">
        <v>337</v>
      </c>
      <c r="B281" s="55">
        <v>45574</v>
      </c>
      <c r="C281" s="37" t="s">
        <v>454</v>
      </c>
      <c r="D281" s="36" t="s">
        <v>58</v>
      </c>
      <c r="E281" s="45" t="s">
        <v>32</v>
      </c>
      <c r="F281" s="45" t="s">
        <v>55</v>
      </c>
      <c r="G281" s="38" t="s">
        <v>479</v>
      </c>
      <c r="H281" s="38">
        <v>20291360581</v>
      </c>
      <c r="I281" s="38" t="s">
        <v>480</v>
      </c>
      <c r="J281" s="36" t="s">
        <v>381</v>
      </c>
      <c r="K281" s="173">
        <v>1</v>
      </c>
      <c r="L281" s="39">
        <v>0</v>
      </c>
      <c r="M281" s="39">
        <v>0</v>
      </c>
      <c r="N281" s="39">
        <v>0</v>
      </c>
      <c r="O281" s="39">
        <v>0</v>
      </c>
      <c r="P281" s="39">
        <v>0</v>
      </c>
      <c r="Q281" s="39">
        <v>-371696.85</v>
      </c>
      <c r="R281" s="39">
        <v>0</v>
      </c>
      <c r="S281" s="39">
        <v>0</v>
      </c>
      <c r="T281" s="39">
        <v>0</v>
      </c>
      <c r="U281" s="39">
        <f>+SUM(Tabla1[[#This Row],[IVA 21%]:[IVA 27%]])</f>
        <v>0</v>
      </c>
      <c r="V281" s="10">
        <f>+SUM(Tabla1[[#This Row],[Neto]:[Impuestos Internos / Otros Tributos]])</f>
        <v>-371696.85</v>
      </c>
      <c r="W281" s="39">
        <f>+Tabla1[[#This Row],[Total]]</f>
        <v>-371696.85</v>
      </c>
      <c r="X281" s="39">
        <v>0</v>
      </c>
      <c r="Y281" s="51" t="s">
        <v>324</v>
      </c>
      <c r="Z281" s="51"/>
      <c r="AA281" s="107"/>
      <c r="AB281" s="39"/>
      <c r="AC281" s="38"/>
      <c r="AD281" s="38"/>
      <c r="AE281" s="38"/>
      <c r="AF281" s="38"/>
      <c r="AG281" s="38"/>
      <c r="AH281" s="39"/>
      <c r="AI281" s="38"/>
      <c r="AJ281" s="188"/>
    </row>
    <row r="282" spans="1:36" hidden="1" x14ac:dyDescent="0.3">
      <c r="A282" s="36" t="s">
        <v>337</v>
      </c>
      <c r="B282" s="55">
        <v>45574</v>
      </c>
      <c r="C282" s="37" t="s">
        <v>26</v>
      </c>
      <c r="D282" s="36" t="s">
        <v>58</v>
      </c>
      <c r="E282" s="45" t="s">
        <v>32</v>
      </c>
      <c r="F282" s="45" t="s">
        <v>227</v>
      </c>
      <c r="G282" s="38" t="s">
        <v>479</v>
      </c>
      <c r="H282" s="38">
        <v>20291360581</v>
      </c>
      <c r="I282" s="38" t="s">
        <v>480</v>
      </c>
      <c r="J282" s="36" t="s">
        <v>381</v>
      </c>
      <c r="K282" s="173">
        <v>1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39">
        <v>185848.43</v>
      </c>
      <c r="R282" s="39">
        <v>0</v>
      </c>
      <c r="S282" s="39"/>
      <c r="T282" s="39">
        <v>0</v>
      </c>
      <c r="U282" s="39">
        <f>+SUM(Tabla1[[#This Row],[IVA 21%]:[IVA 27%]])</f>
        <v>0</v>
      </c>
      <c r="V282" s="10">
        <f>+SUM(Tabla1[[#This Row],[Neto]:[Impuestos Internos / Otros Tributos]])</f>
        <v>185848.43</v>
      </c>
      <c r="W282" s="39">
        <f>+Tabla1[[#This Row],[Total]]</f>
        <v>185848.43</v>
      </c>
      <c r="X282" s="39">
        <v>0</v>
      </c>
      <c r="Y282" s="51" t="s">
        <v>324</v>
      </c>
      <c r="Z282" s="51"/>
      <c r="AA282" s="107">
        <v>45575</v>
      </c>
      <c r="AB282" s="50">
        <f>+Tabla1[[#This Row],[Total a Pagar]]</f>
        <v>185848.43</v>
      </c>
      <c r="AC282" s="38"/>
      <c r="AD282" s="38"/>
      <c r="AE282" s="38"/>
      <c r="AF282" s="38"/>
      <c r="AG282" s="38"/>
      <c r="AH282" s="39">
        <v>0</v>
      </c>
      <c r="AI282" s="38"/>
      <c r="AJ282" s="188"/>
    </row>
    <row r="283" spans="1:36" hidden="1" x14ac:dyDescent="0.3">
      <c r="A283" s="36" t="s">
        <v>337</v>
      </c>
      <c r="B283" s="55">
        <v>45574</v>
      </c>
      <c r="C283" s="37" t="s">
        <v>26</v>
      </c>
      <c r="D283" s="36" t="s">
        <v>58</v>
      </c>
      <c r="E283" s="45" t="s">
        <v>32</v>
      </c>
      <c r="F283" s="45" t="s">
        <v>481</v>
      </c>
      <c r="G283" s="38" t="s">
        <v>479</v>
      </c>
      <c r="H283" s="38">
        <v>20291360581</v>
      </c>
      <c r="I283" s="38" t="s">
        <v>482</v>
      </c>
      <c r="J283" s="36" t="s">
        <v>381</v>
      </c>
      <c r="K283" s="173">
        <v>1</v>
      </c>
      <c r="L283" s="39">
        <v>0</v>
      </c>
      <c r="M283" s="39">
        <v>0</v>
      </c>
      <c r="N283" s="39">
        <v>0</v>
      </c>
      <c r="O283" s="39">
        <v>0</v>
      </c>
      <c r="P283" s="39">
        <v>0</v>
      </c>
      <c r="Q283" s="39">
        <v>147198.39000000001</v>
      </c>
      <c r="R283" s="39">
        <v>0</v>
      </c>
      <c r="S283" s="39">
        <v>0</v>
      </c>
      <c r="T283" s="39">
        <v>0</v>
      </c>
      <c r="U283" s="39">
        <f>+SUM(Tabla1[[#This Row],[IVA 21%]:[IVA 27%]])</f>
        <v>0</v>
      </c>
      <c r="V283" s="10">
        <f>+SUM(Tabla1[[#This Row],[Neto]:[Impuestos Internos / Otros Tributos]])</f>
        <v>147198.39000000001</v>
      </c>
      <c r="W283" s="39">
        <f>+Tabla1[[#This Row],[Total]]</f>
        <v>147198.39000000001</v>
      </c>
      <c r="X283" s="39">
        <v>0</v>
      </c>
      <c r="Y283" s="51" t="s">
        <v>324</v>
      </c>
      <c r="Z283" s="51"/>
      <c r="AA283" s="107">
        <v>45575</v>
      </c>
      <c r="AB283" s="50">
        <f>+Tabla1[[#This Row],[Total a Pagar]]</f>
        <v>147198.39000000001</v>
      </c>
      <c r="AC283" s="38"/>
      <c r="AD283" s="38"/>
      <c r="AE283" s="38"/>
      <c r="AF283" s="38"/>
      <c r="AG283" s="38"/>
      <c r="AH283" s="39">
        <v>0</v>
      </c>
      <c r="AI283" s="38"/>
      <c r="AJ283" s="188"/>
    </row>
    <row r="284" spans="1:36" hidden="1" x14ac:dyDescent="0.3">
      <c r="A284" s="8" t="s">
        <v>337</v>
      </c>
      <c r="B284" s="55">
        <v>45574</v>
      </c>
      <c r="C284" s="37" t="s">
        <v>26</v>
      </c>
      <c r="D284" s="36" t="s">
        <v>58</v>
      </c>
      <c r="E284" s="45" t="s">
        <v>118</v>
      </c>
      <c r="F284" s="45" t="s">
        <v>484</v>
      </c>
      <c r="G284" s="38" t="s">
        <v>120</v>
      </c>
      <c r="H284" s="38">
        <v>33707243479</v>
      </c>
      <c r="I284" s="38" t="s">
        <v>121</v>
      </c>
      <c r="J284" s="36" t="s">
        <v>381</v>
      </c>
      <c r="K284" s="173">
        <v>1</v>
      </c>
      <c r="L284" s="39">
        <v>176859.5</v>
      </c>
      <c r="M284" s="39">
        <f>+Tabla1[[#This Row],[Neto]]*21%</f>
        <v>37140.494999999995</v>
      </c>
      <c r="N284" s="39">
        <v>0</v>
      </c>
      <c r="O284" s="39">
        <v>0</v>
      </c>
      <c r="P284" s="39">
        <v>0</v>
      </c>
      <c r="Q284" s="39">
        <v>0</v>
      </c>
      <c r="R284" s="39">
        <v>0</v>
      </c>
      <c r="S284" s="39">
        <v>0</v>
      </c>
      <c r="T284" s="39">
        <v>0</v>
      </c>
      <c r="U284" s="39">
        <f>+SUM(Tabla1[[#This Row],[IVA 21%]:[IVA 27%]])</f>
        <v>37140.494999999995</v>
      </c>
      <c r="V284" s="10">
        <f>+SUM(Tabla1[[#This Row],[Neto]:[Impuestos Internos / Otros Tributos]])</f>
        <v>213999.995</v>
      </c>
      <c r="W284" s="10">
        <f>+Tabla1[[#This Row],[Total]]</f>
        <v>213999.995</v>
      </c>
      <c r="X284" s="39">
        <v>0</v>
      </c>
      <c r="Y284" s="10" t="s">
        <v>324</v>
      </c>
      <c r="Z284" s="10"/>
      <c r="AA284" s="107">
        <v>45575</v>
      </c>
      <c r="AB284" s="32">
        <f>+Tabla1[[#This Row],[Total a Pagar]]</f>
        <v>213999.995</v>
      </c>
      <c r="AC284" s="38"/>
      <c r="AD284" s="38"/>
      <c r="AE284" s="38"/>
      <c r="AF284" s="38"/>
      <c r="AG284" s="38"/>
      <c r="AH284" s="39">
        <v>0</v>
      </c>
      <c r="AI284" s="38"/>
      <c r="AJ284" s="188"/>
    </row>
    <row r="285" spans="1:36" hidden="1" x14ac:dyDescent="0.3">
      <c r="A285" s="36" t="s">
        <v>337</v>
      </c>
      <c r="B285" s="55">
        <v>45574</v>
      </c>
      <c r="C285" s="12" t="s">
        <v>26</v>
      </c>
      <c r="D285" s="8" t="s">
        <v>58</v>
      </c>
      <c r="E285" s="9" t="s">
        <v>67</v>
      </c>
      <c r="F285" s="9" t="s">
        <v>485</v>
      </c>
      <c r="G285" s="30" t="s">
        <v>374</v>
      </c>
      <c r="H285" s="30">
        <v>30712149945</v>
      </c>
      <c r="I285" s="30" t="s">
        <v>375</v>
      </c>
      <c r="J285" s="36" t="s">
        <v>381</v>
      </c>
      <c r="K285" s="173">
        <v>1</v>
      </c>
      <c r="L285" s="39">
        <v>151944.74</v>
      </c>
      <c r="M285" s="39">
        <f>+Tabla1[[#This Row],[Neto]]*21%</f>
        <v>31908.395399999998</v>
      </c>
      <c r="N285" s="39">
        <v>0</v>
      </c>
      <c r="O285" s="39">
        <v>0</v>
      </c>
      <c r="P285" s="39">
        <v>0</v>
      </c>
      <c r="Q285" s="39">
        <v>0</v>
      </c>
      <c r="R285" s="39">
        <v>0</v>
      </c>
      <c r="S285" s="39">
        <v>0</v>
      </c>
      <c r="T285" s="39">
        <v>0</v>
      </c>
      <c r="U285" s="39">
        <f>+SUM(Tabla1[[#This Row],[IVA 21%]:[IVA 27%]])</f>
        <v>31908.395399999998</v>
      </c>
      <c r="V285" s="10">
        <f>+SUM(Tabla1[[#This Row],[Neto]:[Impuestos Internos / Otros Tributos]])</f>
        <v>183853.1354</v>
      </c>
      <c r="W285" s="10">
        <f>+Tabla1[[#This Row],[Total]]</f>
        <v>183853.1354</v>
      </c>
      <c r="X285" s="39">
        <v>0</v>
      </c>
      <c r="Y285" s="10" t="s">
        <v>324</v>
      </c>
      <c r="Z285" s="10"/>
      <c r="AA285" s="107">
        <v>45573</v>
      </c>
      <c r="AB285" s="32">
        <f>+Tabla1[[#This Row],[Total a Pagar]]</f>
        <v>183853.1354</v>
      </c>
      <c r="AC285" s="38"/>
      <c r="AD285" s="38"/>
      <c r="AE285" s="38"/>
      <c r="AF285" s="38"/>
      <c r="AG285" s="38"/>
      <c r="AH285" s="39">
        <v>0</v>
      </c>
      <c r="AI285" s="38"/>
      <c r="AJ285" s="188"/>
    </row>
    <row r="286" spans="1:36" hidden="1" x14ac:dyDescent="0.3">
      <c r="A286" s="8" t="s">
        <v>337</v>
      </c>
      <c r="B286" s="53">
        <v>45574</v>
      </c>
      <c r="C286" s="12" t="s">
        <v>26</v>
      </c>
      <c r="D286" s="8" t="s">
        <v>58</v>
      </c>
      <c r="E286" s="9" t="s">
        <v>507</v>
      </c>
      <c r="F286" s="9" t="s">
        <v>508</v>
      </c>
      <c r="G286" s="4" t="s">
        <v>509</v>
      </c>
      <c r="H286" s="4">
        <v>30718871009</v>
      </c>
      <c r="I286" s="4" t="s">
        <v>510</v>
      </c>
      <c r="J286" s="8" t="s">
        <v>381</v>
      </c>
      <c r="K286" s="173">
        <v>1</v>
      </c>
      <c r="L286" s="10">
        <v>1124164.24</v>
      </c>
      <c r="M286" s="10">
        <f>+Tabla1[[#This Row],[Neto]]*21%</f>
        <v>236074.49039999998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f>+Tabla1[[#This Row],[Neto]]*3.6%</f>
        <v>40469.912640000002</v>
      </c>
      <c r="T286" s="10">
        <v>0</v>
      </c>
      <c r="U286" s="10">
        <f>+SUM(Tabla1[[#This Row],[IVA 21%]:[IVA 27%]])</f>
        <v>236074.49039999998</v>
      </c>
      <c r="V286" s="10">
        <f>+SUM(Tabla1[[#This Row],[Neto]:[Impuestos Internos / Otros Tributos]])</f>
        <v>1400708.64304</v>
      </c>
      <c r="W286" s="39">
        <f>+Tabla1[[#This Row],[Total]]</f>
        <v>1400708.64304</v>
      </c>
      <c r="X286" s="10">
        <v>25893.37</v>
      </c>
      <c r="Y286" s="49" t="s">
        <v>324</v>
      </c>
      <c r="AA286" s="109">
        <v>45573</v>
      </c>
      <c r="AB286" s="32">
        <f>+Tabla1[[#This Row],[Total a Pagar]]</f>
        <v>1400708.64304</v>
      </c>
      <c r="AH286" s="10">
        <v>0</v>
      </c>
      <c r="AJ286" s="188"/>
    </row>
    <row r="287" spans="1:36" hidden="1" x14ac:dyDescent="0.3">
      <c r="A287" s="78" t="s">
        <v>337</v>
      </c>
      <c r="B287" s="79">
        <v>45574</v>
      </c>
      <c r="C287" s="80" t="s">
        <v>26</v>
      </c>
      <c r="D287" s="78" t="s">
        <v>70</v>
      </c>
      <c r="E287" s="9" t="s">
        <v>418</v>
      </c>
      <c r="F287" s="9" t="s">
        <v>635</v>
      </c>
      <c r="G287" s="81" t="s">
        <v>636</v>
      </c>
      <c r="H287" s="81">
        <v>20180185107</v>
      </c>
      <c r="I287" s="81" t="s">
        <v>279</v>
      </c>
      <c r="J287" s="78" t="s">
        <v>381</v>
      </c>
      <c r="K287" s="173">
        <v>1</v>
      </c>
      <c r="L287" s="82">
        <v>1800</v>
      </c>
      <c r="M287" s="82">
        <v>0</v>
      </c>
      <c r="N287" s="82">
        <v>0</v>
      </c>
      <c r="O287" s="82">
        <v>0</v>
      </c>
      <c r="P287" s="82">
        <v>0</v>
      </c>
      <c r="Q287" s="82">
        <v>0</v>
      </c>
      <c r="R287" s="82">
        <v>0</v>
      </c>
      <c r="S287" s="82">
        <v>0</v>
      </c>
      <c r="T287" s="82">
        <v>0</v>
      </c>
      <c r="U287" s="82">
        <f>+SUM(Tabla1[[#This Row],[IVA 21%]:[IVA 27%]])</f>
        <v>0</v>
      </c>
      <c r="V287" s="10">
        <f>+SUM(Tabla1[[#This Row],[Neto]:[Impuestos Internos / Otros Tributos]])</f>
        <v>1800</v>
      </c>
      <c r="W287" s="10">
        <f>+Tabla1[[#This Row],[Total]]</f>
        <v>1800</v>
      </c>
      <c r="X287" s="82">
        <v>0</v>
      </c>
      <c r="Y287" s="83" t="s">
        <v>324</v>
      </c>
      <c r="Z287" s="83"/>
      <c r="AA287" s="108">
        <v>45574</v>
      </c>
      <c r="AB287" s="82">
        <v>0</v>
      </c>
      <c r="AC287" s="81"/>
      <c r="AD287" s="81"/>
      <c r="AE287" s="81"/>
      <c r="AF287" s="81"/>
      <c r="AG287" s="81"/>
      <c r="AH287" s="84">
        <f>+Tabla1[[#This Row],[Total a Pagar]]</f>
        <v>1800</v>
      </c>
      <c r="AI287" s="81"/>
      <c r="AJ287" s="188"/>
    </row>
    <row r="288" spans="1:36" hidden="1" x14ac:dyDescent="0.3">
      <c r="A288" s="78" t="s">
        <v>337</v>
      </c>
      <c r="B288" s="79">
        <v>45574</v>
      </c>
      <c r="C288" s="37" t="s">
        <v>434</v>
      </c>
      <c r="D288" s="78" t="s">
        <v>403</v>
      </c>
      <c r="E288" s="85" t="s">
        <v>28</v>
      </c>
      <c r="F288" s="85" t="s">
        <v>180</v>
      </c>
      <c r="G288" s="81" t="s">
        <v>406</v>
      </c>
      <c r="H288" s="81">
        <v>30111111111</v>
      </c>
      <c r="I288" s="81" t="s">
        <v>405</v>
      </c>
      <c r="J288" s="78" t="s">
        <v>381</v>
      </c>
      <c r="K288" s="173">
        <v>1</v>
      </c>
      <c r="L288" s="82">
        <v>2000</v>
      </c>
      <c r="M288" s="82">
        <v>0</v>
      </c>
      <c r="N288" s="82">
        <v>0</v>
      </c>
      <c r="O288" s="82">
        <v>0</v>
      </c>
      <c r="P288" s="82">
        <v>0</v>
      </c>
      <c r="Q288" s="82">
        <v>0</v>
      </c>
      <c r="R288" s="82">
        <v>0</v>
      </c>
      <c r="S288" s="82">
        <v>0</v>
      </c>
      <c r="T288" s="82">
        <v>0</v>
      </c>
      <c r="U288" s="82">
        <f>+SUM(Tabla1[[#This Row],[IVA 21%]:[IVA 27%]])</f>
        <v>0</v>
      </c>
      <c r="V288" s="10">
        <f>+SUM(Tabla1[[#This Row],[Neto]:[Impuestos Internos / Otros Tributos]])</f>
        <v>2000</v>
      </c>
      <c r="W288" s="10">
        <f>+Tabla1[[#This Row],[Total]]</f>
        <v>2000</v>
      </c>
      <c r="X288" s="82">
        <v>0</v>
      </c>
      <c r="Y288" s="83" t="s">
        <v>324</v>
      </c>
      <c r="Z288" s="83"/>
      <c r="AA288" s="108">
        <v>45574</v>
      </c>
      <c r="AB288" s="82">
        <v>0</v>
      </c>
      <c r="AC288" s="81"/>
      <c r="AD288" s="81"/>
      <c r="AE288" s="81"/>
      <c r="AF288" s="81"/>
      <c r="AG288" s="81"/>
      <c r="AH288" s="84">
        <f>+Tabla1[[#This Row],[Total a Pagar]]</f>
        <v>2000</v>
      </c>
      <c r="AI288" s="81"/>
      <c r="AJ288" s="188"/>
    </row>
    <row r="289" spans="1:36" hidden="1" x14ac:dyDescent="0.3">
      <c r="A289" s="78" t="s">
        <v>337</v>
      </c>
      <c r="B289" s="79">
        <v>45574</v>
      </c>
      <c r="C289" s="80" t="s">
        <v>641</v>
      </c>
      <c r="D289" s="78"/>
      <c r="E289" s="78"/>
      <c r="F289" s="78"/>
      <c r="G289" s="81" t="s">
        <v>406</v>
      </c>
      <c r="H289" s="81">
        <v>30111111111</v>
      </c>
      <c r="I289" s="81" t="s">
        <v>638</v>
      </c>
      <c r="J289" s="78" t="s">
        <v>381</v>
      </c>
      <c r="K289" s="173">
        <v>1</v>
      </c>
      <c r="L289" s="82">
        <v>2000</v>
      </c>
      <c r="M289" s="82">
        <v>0</v>
      </c>
      <c r="N289" s="82">
        <v>0</v>
      </c>
      <c r="O289" s="82">
        <v>0</v>
      </c>
      <c r="P289" s="82">
        <v>0</v>
      </c>
      <c r="Q289" s="82">
        <v>0</v>
      </c>
      <c r="R289" s="82">
        <v>0</v>
      </c>
      <c r="S289" s="82">
        <v>0</v>
      </c>
      <c r="T289" s="82">
        <v>0</v>
      </c>
      <c r="U289" s="82">
        <f>+SUM(Tabla1[[#This Row],[IVA 21%]:[IVA 27%]])</f>
        <v>0</v>
      </c>
      <c r="V289" s="10">
        <f>+SUM(Tabla1[[#This Row],[Neto]:[Impuestos Internos / Otros Tributos]])</f>
        <v>2000</v>
      </c>
      <c r="W289" s="10">
        <f>+Tabla1[[#This Row],[Total]]</f>
        <v>2000</v>
      </c>
      <c r="X289" s="82">
        <v>0</v>
      </c>
      <c r="Y289" s="83" t="s">
        <v>324</v>
      </c>
      <c r="Z289" s="83"/>
      <c r="AA289" s="108">
        <v>45574</v>
      </c>
      <c r="AB289" s="82">
        <v>0</v>
      </c>
      <c r="AC289" s="81"/>
      <c r="AD289" s="81"/>
      <c r="AE289" s="81"/>
      <c r="AF289" s="81"/>
      <c r="AG289" s="81"/>
      <c r="AH289" s="84">
        <f>+Tabla1[[#This Row],[Total a Pagar]]</f>
        <v>2000</v>
      </c>
      <c r="AI289" s="81"/>
      <c r="AJ289" s="188"/>
    </row>
    <row r="290" spans="1:36" hidden="1" x14ac:dyDescent="0.3">
      <c r="A290" s="8" t="s">
        <v>337</v>
      </c>
      <c r="B290" s="53">
        <v>45574</v>
      </c>
      <c r="C290" s="12" t="s">
        <v>26</v>
      </c>
      <c r="D290" s="8" t="s">
        <v>58</v>
      </c>
      <c r="E290" s="9" t="s">
        <v>111</v>
      </c>
      <c r="F290" s="9" t="s">
        <v>676</v>
      </c>
      <c r="G290" s="4" t="s">
        <v>95</v>
      </c>
      <c r="H290" s="4">
        <v>30583516790</v>
      </c>
      <c r="I290" s="4" t="s">
        <v>96</v>
      </c>
      <c r="J290" s="8" t="s">
        <v>381</v>
      </c>
      <c r="K290" s="173">
        <v>1</v>
      </c>
      <c r="L290" s="10">
        <v>1997.11</v>
      </c>
      <c r="M290" s="10">
        <f>+Tabla1[[#This Row],[Neto]]*21%</f>
        <v>419.39309999999995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f>+SUM(Tabla1[[#This Row],[IVA 21%]:[IVA 27%]])</f>
        <v>419.39309999999995</v>
      </c>
      <c r="V290" s="10">
        <f>+SUM(Tabla1[[#This Row],[Neto]:[Impuestos Internos / Otros Tributos]])</f>
        <v>2416.5030999999999</v>
      </c>
      <c r="W290" s="82">
        <f>+Tabla1[[#This Row],[Total]]</f>
        <v>2416.5030999999999</v>
      </c>
      <c r="X290" s="10">
        <v>0</v>
      </c>
      <c r="Y290" s="83" t="s">
        <v>324</v>
      </c>
      <c r="Z290" s="83"/>
      <c r="AA290" s="109">
        <v>45574</v>
      </c>
      <c r="AB290" s="10">
        <v>0</v>
      </c>
      <c r="AH290" s="32">
        <f>+Tabla1[[#This Row],[Total a Pagar]]</f>
        <v>2416.5030999999999</v>
      </c>
      <c r="AJ290" s="188"/>
    </row>
    <row r="291" spans="1:36" hidden="1" x14ac:dyDescent="0.3">
      <c r="A291" s="8" t="s">
        <v>337</v>
      </c>
      <c r="B291" s="53">
        <v>45574</v>
      </c>
      <c r="C291" s="12" t="s">
        <v>26</v>
      </c>
      <c r="D291" s="8" t="s">
        <v>27</v>
      </c>
      <c r="E291" s="9" t="s">
        <v>37</v>
      </c>
      <c r="F291" s="9" t="s">
        <v>749</v>
      </c>
      <c r="G291" s="4" t="s">
        <v>78</v>
      </c>
      <c r="H291" s="4">
        <v>20105424605</v>
      </c>
      <c r="I291" s="4" t="s">
        <v>277</v>
      </c>
      <c r="J291" s="8" t="s">
        <v>381</v>
      </c>
      <c r="K291" s="173">
        <v>1</v>
      </c>
      <c r="L291" s="10">
        <v>4470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f>+SUM(Tabla1[[#This Row],[IVA 21%]:[IVA 27%]])</f>
        <v>0</v>
      </c>
      <c r="V291" s="10">
        <f>+SUM(Tabla1[[#This Row],[Neto]:[Impuestos Internos / Otros Tributos]])</f>
        <v>4470</v>
      </c>
      <c r="W291" s="10">
        <f>+Tabla1[[#This Row],[Total]]</f>
        <v>4470</v>
      </c>
      <c r="X291" s="10">
        <v>0</v>
      </c>
      <c r="Y291" s="49" t="s">
        <v>324</v>
      </c>
      <c r="AA291" s="109">
        <v>45574</v>
      </c>
      <c r="AB291" s="10">
        <v>0</v>
      </c>
      <c r="AH291" s="32">
        <f>+Tabla1[[#This Row],[Total a Pagar]]</f>
        <v>4470</v>
      </c>
      <c r="AJ291" s="188"/>
    </row>
    <row r="292" spans="1:36" hidden="1" x14ac:dyDescent="0.3">
      <c r="A292" s="102" t="s">
        <v>337</v>
      </c>
      <c r="B292" s="103">
        <v>45574</v>
      </c>
      <c r="C292" s="118" t="s">
        <v>26</v>
      </c>
      <c r="D292" s="102" t="s">
        <v>70</v>
      </c>
      <c r="E292" s="121" t="s">
        <v>74</v>
      </c>
      <c r="F292" s="121" t="s">
        <v>779</v>
      </c>
      <c r="G292" s="104" t="s">
        <v>780</v>
      </c>
      <c r="H292" s="104">
        <v>30709764272</v>
      </c>
      <c r="I292" s="104" t="s">
        <v>781</v>
      </c>
      <c r="J292" s="102" t="s">
        <v>381</v>
      </c>
      <c r="K292" s="173">
        <v>1</v>
      </c>
      <c r="L292" s="105">
        <v>29200</v>
      </c>
      <c r="M292" s="105">
        <v>0</v>
      </c>
      <c r="N292" s="105">
        <v>0</v>
      </c>
      <c r="O292" s="105">
        <v>0</v>
      </c>
      <c r="P292" s="105">
        <v>0</v>
      </c>
      <c r="Q292" s="105">
        <v>0</v>
      </c>
      <c r="R292" s="105">
        <v>0</v>
      </c>
      <c r="S292" s="105">
        <v>0</v>
      </c>
      <c r="T292" s="105">
        <v>0</v>
      </c>
      <c r="U292" s="105">
        <f>+SUM(Tabla1[[#This Row],[IVA 21%]:[IVA 27%]])</f>
        <v>0</v>
      </c>
      <c r="V292" s="10">
        <f>+SUM(Tabla1[[#This Row],[Neto]:[Impuestos Internos / Otros Tributos]])</f>
        <v>29200</v>
      </c>
      <c r="W292" s="10">
        <f>+Tabla1[[#This Row],[Total]]</f>
        <v>29200</v>
      </c>
      <c r="X292" s="105">
        <v>0</v>
      </c>
      <c r="Y292" s="119" t="s">
        <v>324</v>
      </c>
      <c r="Z292" s="119"/>
      <c r="AA292" s="117">
        <v>45574</v>
      </c>
      <c r="AB292" s="105">
        <v>0</v>
      </c>
      <c r="AC292" s="104"/>
      <c r="AD292" s="104"/>
      <c r="AE292" s="104"/>
      <c r="AF292" s="104"/>
      <c r="AG292" s="104"/>
      <c r="AH292" s="120">
        <f>+Tabla1[[#This Row],[Total a Pagar]]</f>
        <v>29200</v>
      </c>
      <c r="AI292" s="104"/>
      <c r="AJ292" s="188"/>
    </row>
    <row r="293" spans="1:36" hidden="1" x14ac:dyDescent="0.3">
      <c r="A293" s="102" t="s">
        <v>337</v>
      </c>
      <c r="B293" s="103">
        <v>45574</v>
      </c>
      <c r="C293" s="118" t="s">
        <v>26</v>
      </c>
      <c r="D293" s="102" t="s">
        <v>70</v>
      </c>
      <c r="E293" s="121" t="s">
        <v>418</v>
      </c>
      <c r="F293" s="121" t="s">
        <v>782</v>
      </c>
      <c r="G293" s="104" t="s">
        <v>636</v>
      </c>
      <c r="H293" s="81">
        <v>20180185107</v>
      </c>
      <c r="I293" s="4" t="s">
        <v>783</v>
      </c>
      <c r="J293" s="102" t="s">
        <v>381</v>
      </c>
      <c r="K293" s="173">
        <v>1</v>
      </c>
      <c r="L293" s="105">
        <v>7200</v>
      </c>
      <c r="M293" s="105">
        <v>0</v>
      </c>
      <c r="N293" s="105">
        <v>0</v>
      </c>
      <c r="O293" s="105">
        <v>0</v>
      </c>
      <c r="P293" s="105">
        <v>0</v>
      </c>
      <c r="Q293" s="105">
        <v>0</v>
      </c>
      <c r="R293" s="105">
        <v>0</v>
      </c>
      <c r="S293" s="105">
        <v>0</v>
      </c>
      <c r="T293" s="105">
        <v>0</v>
      </c>
      <c r="U293" s="105">
        <f>+SUM(Tabla1[[#This Row],[IVA 21%]:[IVA 27%]])</f>
        <v>0</v>
      </c>
      <c r="V293" s="10">
        <f>+SUM(Tabla1[[#This Row],[Neto]:[Impuestos Internos / Otros Tributos]])</f>
        <v>7200</v>
      </c>
      <c r="W293" s="10">
        <f>+Tabla1[[#This Row],[Total]]</f>
        <v>7200</v>
      </c>
      <c r="X293" s="105">
        <v>0</v>
      </c>
      <c r="Y293" s="119" t="s">
        <v>324</v>
      </c>
      <c r="Z293" s="119"/>
      <c r="AA293" s="117">
        <v>45574</v>
      </c>
      <c r="AB293" s="105">
        <v>0</v>
      </c>
      <c r="AC293" s="104"/>
      <c r="AD293" s="104"/>
      <c r="AE293" s="104"/>
      <c r="AF293" s="104"/>
      <c r="AG293" s="104"/>
      <c r="AH293" s="120">
        <f>+Tabla1[[#This Row],[Total a Pagar]]</f>
        <v>7200</v>
      </c>
      <c r="AI293" s="104"/>
      <c r="AJ293" s="188"/>
    </row>
    <row r="294" spans="1:36" hidden="1" x14ac:dyDescent="0.3">
      <c r="A294" s="36" t="s">
        <v>337</v>
      </c>
      <c r="B294" s="55">
        <v>45575</v>
      </c>
      <c r="C294" s="37" t="s">
        <v>26</v>
      </c>
      <c r="D294" s="8" t="s">
        <v>58</v>
      </c>
      <c r="E294" s="9" t="s">
        <v>28</v>
      </c>
      <c r="F294" s="9" t="s">
        <v>215</v>
      </c>
      <c r="G294" s="38" t="s">
        <v>158</v>
      </c>
      <c r="H294" s="38">
        <v>30718646592</v>
      </c>
      <c r="I294" s="38" t="s">
        <v>467</v>
      </c>
      <c r="J294" s="36" t="s">
        <v>381</v>
      </c>
      <c r="K294" s="173">
        <v>1</v>
      </c>
      <c r="L294" s="39">
        <v>661158</v>
      </c>
      <c r="M294" s="39">
        <f>+Tabla1[[#This Row],[Neto]]*21%</f>
        <v>138843.18</v>
      </c>
      <c r="N294" s="39">
        <v>0</v>
      </c>
      <c r="O294" s="39">
        <v>0</v>
      </c>
      <c r="P294" s="39">
        <v>0</v>
      </c>
      <c r="Q294" s="39">
        <v>0</v>
      </c>
      <c r="R294" s="39">
        <v>0</v>
      </c>
      <c r="S294" s="39">
        <v>0</v>
      </c>
      <c r="T294" s="39">
        <v>0</v>
      </c>
      <c r="U294" s="39">
        <f>+SUM(Tabla1[[#This Row],[IVA 21%]:[IVA 27%]])</f>
        <v>138843.18</v>
      </c>
      <c r="V294" s="10">
        <f>+SUM(Tabla1[[#This Row],[Neto]:[Impuestos Internos / Otros Tributos]])</f>
        <v>800001.17999999993</v>
      </c>
      <c r="W294" s="39">
        <f>+Tabla1[[#This Row],[Total]]</f>
        <v>800001.17999999993</v>
      </c>
      <c r="X294" s="39"/>
      <c r="Y294" s="10" t="s">
        <v>324</v>
      </c>
      <c r="Z294" s="10"/>
      <c r="AA294" s="107">
        <v>45555</v>
      </c>
      <c r="AB294" s="50">
        <f>+Tabla1[[#This Row],[Total a Pagar]]</f>
        <v>800001.17999999993</v>
      </c>
      <c r="AC294" s="38"/>
      <c r="AD294" s="38"/>
      <c r="AE294" s="38"/>
      <c r="AF294" s="38"/>
      <c r="AG294" s="38"/>
      <c r="AH294" s="39">
        <v>0</v>
      </c>
      <c r="AI294" s="38"/>
      <c r="AJ294" s="188"/>
    </row>
    <row r="295" spans="1:36" x14ac:dyDescent="0.3">
      <c r="A295" s="36" t="s">
        <v>337</v>
      </c>
      <c r="B295" s="55">
        <v>45575</v>
      </c>
      <c r="C295" s="37" t="s">
        <v>26</v>
      </c>
      <c r="D295" s="36" t="s">
        <v>58</v>
      </c>
      <c r="E295" s="45" t="s">
        <v>32</v>
      </c>
      <c r="F295" s="45" t="s">
        <v>474</v>
      </c>
      <c r="G295" s="38" t="s">
        <v>146</v>
      </c>
      <c r="H295" s="38">
        <v>33716385359</v>
      </c>
      <c r="I295" s="38" t="s">
        <v>142</v>
      </c>
      <c r="J295" s="36" t="s">
        <v>381</v>
      </c>
      <c r="K295" s="173">
        <v>1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240000</v>
      </c>
      <c r="R295" s="39">
        <v>0</v>
      </c>
      <c r="S295" s="39">
        <f>+Tabla1[[#This Row],[Exento]]*3.6%</f>
        <v>8640.0000000000018</v>
      </c>
      <c r="T295" s="39">
        <v>0</v>
      </c>
      <c r="U295" s="39">
        <f>+SUM(Tabla1[[#This Row],[IVA 21%]:[IVA 27%]])</f>
        <v>0</v>
      </c>
      <c r="V295" s="10">
        <f>+SUM(Tabla1[[#This Row],[Neto]:[Impuestos Internos / Otros Tributos]])</f>
        <v>248640</v>
      </c>
      <c r="W295" s="39">
        <f>+Tabla1[[#This Row],[Total]]</f>
        <v>248640</v>
      </c>
      <c r="X295" s="39"/>
      <c r="Y295" s="10" t="s">
        <v>324</v>
      </c>
      <c r="Z295" s="10"/>
      <c r="AA295" s="107">
        <v>45610</v>
      </c>
      <c r="AB295" s="39"/>
      <c r="AC295" s="38"/>
      <c r="AD295" s="38"/>
      <c r="AE295" s="38"/>
      <c r="AF295" s="38"/>
      <c r="AG295" s="38"/>
      <c r="AH295" s="39"/>
      <c r="AI295" s="38"/>
      <c r="AJ295" s="4" t="s">
        <v>963</v>
      </c>
    </row>
    <row r="296" spans="1:36" hidden="1" x14ac:dyDescent="0.3">
      <c r="A296" s="36" t="s">
        <v>337</v>
      </c>
      <c r="B296" s="55">
        <v>45575</v>
      </c>
      <c r="C296" s="37" t="s">
        <v>26</v>
      </c>
      <c r="D296" s="36" t="s">
        <v>27</v>
      </c>
      <c r="E296" s="45" t="s">
        <v>28</v>
      </c>
      <c r="F296" s="45" t="s">
        <v>176</v>
      </c>
      <c r="G296" s="38" t="s">
        <v>170</v>
      </c>
      <c r="H296" s="38">
        <v>20356277490</v>
      </c>
      <c r="I296" s="38" t="s">
        <v>517</v>
      </c>
      <c r="J296" s="36" t="s">
        <v>381</v>
      </c>
      <c r="K296" s="173">
        <v>1</v>
      </c>
      <c r="L296" s="39">
        <v>601200</v>
      </c>
      <c r="M296" s="39">
        <v>0</v>
      </c>
      <c r="N296" s="39">
        <v>0</v>
      </c>
      <c r="O296" s="39">
        <v>0</v>
      </c>
      <c r="P296" s="39">
        <v>0</v>
      </c>
      <c r="Q296" s="39">
        <v>0</v>
      </c>
      <c r="R296" s="39">
        <v>0</v>
      </c>
      <c r="S296" s="39">
        <v>0</v>
      </c>
      <c r="T296" s="39">
        <v>0</v>
      </c>
      <c r="U296" s="39">
        <f>+SUM(Tabla1[[#This Row],[IVA 21%]:[IVA 27%]])</f>
        <v>0</v>
      </c>
      <c r="V296" s="10">
        <f>+SUM(Tabla1[[#This Row],[Neto]:[Impuestos Internos / Otros Tributos]])</f>
        <v>601200</v>
      </c>
      <c r="W296" s="39">
        <f>+Tabla1[[#This Row],[Total]]</f>
        <v>601200</v>
      </c>
      <c r="X296" s="39">
        <v>0</v>
      </c>
      <c r="Y296" s="10" t="s">
        <v>324</v>
      </c>
      <c r="Z296" s="10"/>
      <c r="AA296" s="107">
        <v>45581</v>
      </c>
      <c r="AB296" s="50">
        <f>+Tabla1[[#This Row],[Total a Pagar]]</f>
        <v>601200</v>
      </c>
      <c r="AC296" s="38"/>
      <c r="AD296" s="38"/>
      <c r="AE296" s="38"/>
      <c r="AF296" s="38"/>
      <c r="AG296" s="38"/>
      <c r="AH296" s="39">
        <v>0</v>
      </c>
      <c r="AI296" s="38"/>
      <c r="AJ296" s="188"/>
    </row>
    <row r="297" spans="1:36" hidden="1" x14ac:dyDescent="0.3">
      <c r="A297" s="36" t="s">
        <v>337</v>
      </c>
      <c r="B297" s="55">
        <v>45575</v>
      </c>
      <c r="C297" s="37" t="s">
        <v>26</v>
      </c>
      <c r="D297" s="36" t="s">
        <v>27</v>
      </c>
      <c r="E297" s="45" t="s">
        <v>28</v>
      </c>
      <c r="F297" s="45" t="s">
        <v>29</v>
      </c>
      <c r="G297" s="38" t="s">
        <v>170</v>
      </c>
      <c r="H297" s="38">
        <v>20356277490</v>
      </c>
      <c r="I297" s="4" t="s">
        <v>518</v>
      </c>
      <c r="J297" s="36" t="s">
        <v>381</v>
      </c>
      <c r="K297" s="173">
        <v>1</v>
      </c>
      <c r="L297" s="39">
        <v>823200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0</v>
      </c>
      <c r="T297" s="39">
        <v>0</v>
      </c>
      <c r="U297" s="39">
        <f>+SUM(Tabla1[[#This Row],[IVA 21%]:[IVA 27%]])</f>
        <v>0</v>
      </c>
      <c r="V297" s="10">
        <f>+SUM(Tabla1[[#This Row],[Neto]:[Impuestos Internos / Otros Tributos]])</f>
        <v>823200</v>
      </c>
      <c r="W297" s="39">
        <f>+Tabla1[[#This Row],[Total]]</f>
        <v>823200</v>
      </c>
      <c r="X297" s="39">
        <v>0</v>
      </c>
      <c r="Y297" s="51" t="s">
        <v>324</v>
      </c>
      <c r="Z297" s="51"/>
      <c r="AA297" s="107">
        <v>45581</v>
      </c>
      <c r="AB297" s="50">
        <f>+Tabla1[[#This Row],[Total a Pagar]]</f>
        <v>823200</v>
      </c>
      <c r="AC297" s="38"/>
      <c r="AD297" s="38"/>
      <c r="AE297" s="38"/>
      <c r="AF297" s="38"/>
      <c r="AG297" s="38"/>
      <c r="AH297" s="39">
        <v>0</v>
      </c>
      <c r="AI297" s="38"/>
      <c r="AJ297" s="188"/>
    </row>
    <row r="298" spans="1:36" hidden="1" x14ac:dyDescent="0.3">
      <c r="A298" s="36" t="s">
        <v>337</v>
      </c>
      <c r="B298" s="55">
        <v>45575</v>
      </c>
      <c r="C298" s="37" t="s">
        <v>26</v>
      </c>
      <c r="D298" s="36" t="s">
        <v>27</v>
      </c>
      <c r="E298" s="45" t="s">
        <v>37</v>
      </c>
      <c r="F298" s="45" t="s">
        <v>524</v>
      </c>
      <c r="G298" s="38" t="s">
        <v>190</v>
      </c>
      <c r="H298" s="38">
        <v>27299177683</v>
      </c>
      <c r="I298" s="38" t="s">
        <v>523</v>
      </c>
      <c r="J298" s="36" t="s">
        <v>381</v>
      </c>
      <c r="K298" s="173">
        <v>1</v>
      </c>
      <c r="L298" s="39">
        <v>216000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0</v>
      </c>
      <c r="T298" s="39">
        <v>0</v>
      </c>
      <c r="U298" s="39">
        <f>+SUM(Tabla1[[#This Row],[IVA 21%]:[IVA 27%]])</f>
        <v>0</v>
      </c>
      <c r="V298" s="10">
        <f>+SUM(Tabla1[[#This Row],[Neto]:[Impuestos Internos / Otros Tributos]])</f>
        <v>216000</v>
      </c>
      <c r="W298" s="39">
        <f>+Tabla1[[#This Row],[Total]]</f>
        <v>216000</v>
      </c>
      <c r="X298" s="39">
        <v>0</v>
      </c>
      <c r="Y298" s="51" t="s">
        <v>324</v>
      </c>
      <c r="Z298" s="51"/>
      <c r="AA298" s="107">
        <v>45581</v>
      </c>
      <c r="AB298" s="50">
        <f>+Tabla1[[#This Row],[Total a Pagar]]</f>
        <v>216000</v>
      </c>
      <c r="AC298" s="38"/>
      <c r="AD298" s="38"/>
      <c r="AE298" s="38"/>
      <c r="AF298" s="38"/>
      <c r="AG298" s="38"/>
      <c r="AH298" s="39">
        <v>0</v>
      </c>
      <c r="AI298" s="38"/>
      <c r="AJ298" s="188"/>
    </row>
    <row r="299" spans="1:36" hidden="1" x14ac:dyDescent="0.3">
      <c r="A299" s="36" t="s">
        <v>337</v>
      </c>
      <c r="B299" s="55">
        <v>45575</v>
      </c>
      <c r="C299" s="37" t="s">
        <v>26</v>
      </c>
      <c r="D299" s="36" t="s">
        <v>27</v>
      </c>
      <c r="E299" s="45" t="s">
        <v>37</v>
      </c>
      <c r="F299" s="45" t="s">
        <v>525</v>
      </c>
      <c r="G299" s="38" t="s">
        <v>188</v>
      </c>
      <c r="H299" s="38">
        <v>27299781688</v>
      </c>
      <c r="I299" s="4" t="s">
        <v>527</v>
      </c>
      <c r="J299" s="36" t="s">
        <v>381</v>
      </c>
      <c r="K299" s="173">
        <v>1</v>
      </c>
      <c r="L299" s="39">
        <v>486000</v>
      </c>
      <c r="M299" s="39">
        <v>0</v>
      </c>
      <c r="N299" s="39">
        <v>0</v>
      </c>
      <c r="O299" s="39">
        <v>0</v>
      </c>
      <c r="P299" s="39">
        <v>0</v>
      </c>
      <c r="Q299" s="39">
        <v>0</v>
      </c>
      <c r="R299" s="39">
        <v>0</v>
      </c>
      <c r="S299" s="39">
        <v>0</v>
      </c>
      <c r="T299" s="39">
        <v>0</v>
      </c>
      <c r="U299" s="39">
        <f>+SUM(Tabla1[[#This Row],[IVA 21%]:[IVA 27%]])</f>
        <v>0</v>
      </c>
      <c r="V299" s="10">
        <f>+SUM(Tabla1[[#This Row],[Neto]:[Impuestos Internos / Otros Tributos]])</f>
        <v>486000</v>
      </c>
      <c r="W299" s="39">
        <f>+Tabla1[[#This Row],[Total]]</f>
        <v>486000</v>
      </c>
      <c r="X299" s="39">
        <v>0</v>
      </c>
      <c r="Y299" s="51" t="s">
        <v>324</v>
      </c>
      <c r="Z299" s="51"/>
      <c r="AA299" s="107">
        <v>45581</v>
      </c>
      <c r="AB299" s="50">
        <f>+Tabla1[[#This Row],[Total a Pagar]]</f>
        <v>486000</v>
      </c>
      <c r="AC299" s="38"/>
      <c r="AD299" s="38"/>
      <c r="AE299" s="38"/>
      <c r="AF299" s="38"/>
      <c r="AG299" s="38"/>
      <c r="AH299" s="39">
        <v>0</v>
      </c>
      <c r="AI299" s="38"/>
      <c r="AJ299" s="188"/>
    </row>
    <row r="300" spans="1:36" hidden="1" x14ac:dyDescent="0.3">
      <c r="A300" s="36" t="s">
        <v>337</v>
      </c>
      <c r="B300" s="55">
        <v>45575</v>
      </c>
      <c r="C300" s="37" t="s">
        <v>26</v>
      </c>
      <c r="D300" s="36" t="s">
        <v>27</v>
      </c>
      <c r="E300" s="45" t="s">
        <v>28</v>
      </c>
      <c r="F300" s="45" t="s">
        <v>182</v>
      </c>
      <c r="G300" s="38" t="s">
        <v>144</v>
      </c>
      <c r="H300" s="38">
        <v>20306367553</v>
      </c>
      <c r="I300" s="4" t="s">
        <v>527</v>
      </c>
      <c r="J300" s="36" t="s">
        <v>381</v>
      </c>
      <c r="K300" s="173">
        <v>1</v>
      </c>
      <c r="L300" s="39">
        <v>201600</v>
      </c>
      <c r="M300" s="39">
        <v>0</v>
      </c>
      <c r="N300" s="39">
        <v>0</v>
      </c>
      <c r="O300" s="39">
        <v>0</v>
      </c>
      <c r="P300" s="39">
        <v>0</v>
      </c>
      <c r="Q300" s="39">
        <v>0</v>
      </c>
      <c r="R300" s="39">
        <v>0</v>
      </c>
      <c r="S300" s="39">
        <v>0</v>
      </c>
      <c r="T300" s="39">
        <v>0</v>
      </c>
      <c r="U300" s="39">
        <f>+SUM(Tabla1[[#This Row],[IVA 21%]:[IVA 27%]])</f>
        <v>0</v>
      </c>
      <c r="V300" s="10">
        <f>+SUM(Tabla1[[#This Row],[Neto]:[Impuestos Internos / Otros Tributos]])</f>
        <v>201600</v>
      </c>
      <c r="W300" s="39">
        <f>+Tabla1[[#This Row],[Total]]</f>
        <v>201600</v>
      </c>
      <c r="X300" s="39">
        <v>0</v>
      </c>
      <c r="Y300" s="51" t="s">
        <v>324</v>
      </c>
      <c r="Z300" s="51"/>
      <c r="AA300" s="107">
        <v>45581</v>
      </c>
      <c r="AB300" s="76">
        <f>+Tabla1[[#This Row],[Total a Pagar]]</f>
        <v>201600</v>
      </c>
      <c r="AC300" s="38"/>
      <c r="AD300" s="38"/>
      <c r="AE300" s="38"/>
      <c r="AF300" s="38"/>
      <c r="AG300" s="38"/>
      <c r="AH300" s="39">
        <v>0</v>
      </c>
      <c r="AI300" s="38"/>
      <c r="AJ300" s="188"/>
    </row>
    <row r="301" spans="1:36" hidden="1" x14ac:dyDescent="0.3">
      <c r="A301" s="36" t="s">
        <v>337</v>
      </c>
      <c r="B301" s="55">
        <v>45575</v>
      </c>
      <c r="C301" s="37" t="s">
        <v>26</v>
      </c>
      <c r="D301" s="36" t="s">
        <v>27</v>
      </c>
      <c r="E301" s="45" t="s">
        <v>28</v>
      </c>
      <c r="F301" s="45" t="s">
        <v>528</v>
      </c>
      <c r="G301" s="38" t="s">
        <v>186</v>
      </c>
      <c r="H301" s="38">
        <v>27383412361</v>
      </c>
      <c r="I301" s="38" t="s">
        <v>523</v>
      </c>
      <c r="J301" s="36" t="s">
        <v>381</v>
      </c>
      <c r="K301" s="173">
        <v>1</v>
      </c>
      <c r="L301" s="39">
        <v>403200</v>
      </c>
      <c r="M301" s="39">
        <v>0</v>
      </c>
      <c r="N301" s="39">
        <v>0</v>
      </c>
      <c r="O301" s="39">
        <v>0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39">
        <f>+SUM(Tabla1[[#This Row],[IVA 21%]:[IVA 27%]])</f>
        <v>0</v>
      </c>
      <c r="V301" s="10">
        <f>+SUM(Tabla1[[#This Row],[Neto]:[Impuestos Internos / Otros Tributos]])</f>
        <v>403200</v>
      </c>
      <c r="W301" s="39">
        <f>+Tabla1[[#This Row],[Total]]</f>
        <v>403200</v>
      </c>
      <c r="X301" s="39">
        <v>0</v>
      </c>
      <c r="Y301" s="51" t="s">
        <v>324</v>
      </c>
      <c r="Z301" s="51"/>
      <c r="AA301" s="107">
        <v>45581</v>
      </c>
      <c r="AB301" s="50">
        <f>+Tabla1[[#This Row],[Total a Pagar]]</f>
        <v>403200</v>
      </c>
      <c r="AC301" s="38"/>
      <c r="AD301" s="38"/>
      <c r="AE301" s="38"/>
      <c r="AF301" s="38"/>
      <c r="AG301" s="38"/>
      <c r="AH301" s="39">
        <v>0</v>
      </c>
      <c r="AI301" s="38"/>
      <c r="AJ301" s="188"/>
    </row>
    <row r="302" spans="1:36" hidden="1" x14ac:dyDescent="0.3">
      <c r="A302" s="36" t="s">
        <v>337</v>
      </c>
      <c r="B302" s="55">
        <v>45576</v>
      </c>
      <c r="C302" s="37" t="s">
        <v>26</v>
      </c>
      <c r="D302" s="36" t="s">
        <v>27</v>
      </c>
      <c r="E302" s="45" t="s">
        <v>37</v>
      </c>
      <c r="F302" s="45" t="s">
        <v>223</v>
      </c>
      <c r="G302" s="38" t="s">
        <v>179</v>
      </c>
      <c r="H302" s="38">
        <v>27405241760</v>
      </c>
      <c r="I302" s="38" t="s">
        <v>517</v>
      </c>
      <c r="J302" s="36" t="s">
        <v>381</v>
      </c>
      <c r="K302" s="173">
        <v>1</v>
      </c>
      <c r="L302" s="39">
        <v>403200</v>
      </c>
      <c r="M302" s="39">
        <v>0</v>
      </c>
      <c r="N302" s="39">
        <v>0</v>
      </c>
      <c r="O302" s="39">
        <v>0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f>+SUM(Tabla1[[#This Row],[IVA 21%]:[IVA 27%]])</f>
        <v>0</v>
      </c>
      <c r="V302" s="10">
        <f>+SUM(Tabla1[[#This Row],[Neto]:[Impuestos Internos / Otros Tributos]])</f>
        <v>403200</v>
      </c>
      <c r="W302" s="39">
        <f>+Tabla1[[#This Row],[Total]]</f>
        <v>403200</v>
      </c>
      <c r="X302" s="39">
        <v>0</v>
      </c>
      <c r="Y302" s="51" t="s">
        <v>324</v>
      </c>
      <c r="Z302" s="51"/>
      <c r="AA302" s="107">
        <v>45581</v>
      </c>
      <c r="AB302" s="50">
        <f>+Tabla1[[#This Row],[Total a Pagar]]</f>
        <v>403200</v>
      </c>
      <c r="AC302" s="38"/>
      <c r="AD302" s="38"/>
      <c r="AE302" s="38"/>
      <c r="AF302" s="38"/>
      <c r="AG302" s="38"/>
      <c r="AH302" s="39">
        <v>0</v>
      </c>
      <c r="AI302" s="38"/>
      <c r="AJ302" s="188"/>
    </row>
    <row r="303" spans="1:36" hidden="1" x14ac:dyDescent="0.3">
      <c r="A303" s="36" t="s">
        <v>337</v>
      </c>
      <c r="B303" s="55">
        <v>45576</v>
      </c>
      <c r="C303" s="37" t="s">
        <v>26</v>
      </c>
      <c r="D303" s="36" t="s">
        <v>27</v>
      </c>
      <c r="E303" s="45" t="s">
        <v>28</v>
      </c>
      <c r="F303" s="45" t="s">
        <v>41</v>
      </c>
      <c r="G303" s="38" t="s">
        <v>451</v>
      </c>
      <c r="H303" s="38">
        <v>20957725563</v>
      </c>
      <c r="I303" s="38" t="s">
        <v>523</v>
      </c>
      <c r="J303" s="36" t="s">
        <v>381</v>
      </c>
      <c r="K303" s="173">
        <v>1</v>
      </c>
      <c r="L303" s="39">
        <v>300000</v>
      </c>
      <c r="M303" s="39">
        <v>0</v>
      </c>
      <c r="N303" s="39">
        <v>0</v>
      </c>
      <c r="O303" s="39">
        <v>0</v>
      </c>
      <c r="P303" s="39">
        <v>0</v>
      </c>
      <c r="Q303" s="39">
        <v>0</v>
      </c>
      <c r="R303" s="39">
        <v>0</v>
      </c>
      <c r="S303" s="39">
        <v>0</v>
      </c>
      <c r="T303" s="39">
        <v>0</v>
      </c>
      <c r="U303" s="39">
        <f>+SUM(Tabla1[[#This Row],[IVA 21%]:[IVA 27%]])</f>
        <v>0</v>
      </c>
      <c r="V303" s="10">
        <f>+SUM(Tabla1[[#This Row],[Neto]:[Impuestos Internos / Otros Tributos]])</f>
        <v>300000</v>
      </c>
      <c r="W303" s="39">
        <f>+Tabla1[[#This Row],[Total]]</f>
        <v>300000</v>
      </c>
      <c r="X303" s="39">
        <v>0</v>
      </c>
      <c r="Y303" s="51" t="s">
        <v>324</v>
      </c>
      <c r="Z303" s="51"/>
      <c r="AA303" s="107">
        <v>45581</v>
      </c>
      <c r="AB303" s="50">
        <f>+Tabla1[[#This Row],[Total a Pagar]]</f>
        <v>300000</v>
      </c>
      <c r="AC303" s="38"/>
      <c r="AD303" s="38"/>
      <c r="AE303" s="38"/>
      <c r="AF303" s="38"/>
      <c r="AG303" s="38"/>
      <c r="AH303" s="39">
        <v>0</v>
      </c>
      <c r="AI303" s="38"/>
      <c r="AJ303" s="188"/>
    </row>
    <row r="304" spans="1:36" hidden="1" x14ac:dyDescent="0.3">
      <c r="A304" s="67" t="s">
        <v>337</v>
      </c>
      <c r="B304" s="68">
        <v>45576</v>
      </c>
      <c r="C304" s="69" t="s">
        <v>26</v>
      </c>
      <c r="D304" s="67" t="s">
        <v>27</v>
      </c>
      <c r="E304" s="70" t="s">
        <v>28</v>
      </c>
      <c r="F304" s="70" t="s">
        <v>582</v>
      </c>
      <c r="G304" s="71" t="s">
        <v>583</v>
      </c>
      <c r="H304" s="71">
        <v>20213192850</v>
      </c>
      <c r="I304" s="71" t="s">
        <v>584</v>
      </c>
      <c r="J304" s="67" t="s">
        <v>381</v>
      </c>
      <c r="K304" s="173">
        <v>1</v>
      </c>
      <c r="L304" s="72">
        <v>115000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f>+SUM(Tabla1[[#This Row],[IVA 21%]:[IVA 27%]])</f>
        <v>0</v>
      </c>
      <c r="V304" s="10">
        <f>+SUM(Tabla1[[#This Row],[Neto]:[Impuestos Internos / Otros Tributos]])</f>
        <v>115000</v>
      </c>
      <c r="W304" s="72">
        <f>+Tabla1[[#This Row],[Total]]</f>
        <v>115000</v>
      </c>
      <c r="X304" s="72">
        <v>0</v>
      </c>
      <c r="Y304" s="73" t="s">
        <v>324</v>
      </c>
      <c r="Z304" s="73"/>
      <c r="AA304" s="114">
        <v>45583</v>
      </c>
      <c r="AB304" s="74">
        <f>+Tabla1[[#This Row],[Total a Pagar]]</f>
        <v>115000</v>
      </c>
      <c r="AC304" s="71"/>
      <c r="AD304" s="71"/>
      <c r="AE304" s="71"/>
      <c r="AF304" s="71"/>
      <c r="AG304" s="71"/>
      <c r="AH304" s="72">
        <v>0</v>
      </c>
      <c r="AI304" s="71"/>
      <c r="AJ304" s="188"/>
    </row>
    <row r="305" spans="1:36" hidden="1" x14ac:dyDescent="0.3">
      <c r="A305" s="8" t="s">
        <v>337</v>
      </c>
      <c r="B305" s="53">
        <v>45577</v>
      </c>
      <c r="C305" s="12" t="s">
        <v>26</v>
      </c>
      <c r="D305" s="8" t="s">
        <v>58</v>
      </c>
      <c r="E305" s="9" t="s">
        <v>64</v>
      </c>
      <c r="F305" s="9" t="s">
        <v>633</v>
      </c>
      <c r="G305" s="81" t="s">
        <v>66</v>
      </c>
      <c r="H305" s="4">
        <v>30673770483</v>
      </c>
      <c r="I305" s="4" t="s">
        <v>62</v>
      </c>
      <c r="J305" s="8" t="s">
        <v>381</v>
      </c>
      <c r="K305" s="173">
        <v>1</v>
      </c>
      <c r="L305" s="82">
        <v>14978.94</v>
      </c>
      <c r="M305" s="82">
        <f>+Tabla1[[#This Row],[Neto]]*21%</f>
        <v>3145.5774000000001</v>
      </c>
      <c r="N305" s="82">
        <v>0</v>
      </c>
      <c r="O305" s="82">
        <v>0</v>
      </c>
      <c r="P305" s="82">
        <v>0</v>
      </c>
      <c r="Q305" s="82">
        <v>0</v>
      </c>
      <c r="R305" s="82">
        <v>0</v>
      </c>
      <c r="S305" s="82">
        <f>+Tabla1[[#This Row],[Neto]]*3.6%</f>
        <v>539.24184000000014</v>
      </c>
      <c r="T305" s="82">
        <v>0</v>
      </c>
      <c r="U305" s="82">
        <f>+SUM(Tabla1[[#This Row],[IVA 21%]:[IVA 27%]])</f>
        <v>3145.5774000000001</v>
      </c>
      <c r="V305" s="10">
        <f>+SUM(Tabla1[[#This Row],[Neto]:[Impuestos Internos / Otros Tributos]])</f>
        <v>18663.759239999999</v>
      </c>
      <c r="W305" s="10">
        <f>+Tabla1[[#This Row],[Total]]</f>
        <v>18663.759239999999</v>
      </c>
      <c r="X305" s="82">
        <v>0</v>
      </c>
      <c r="Y305" s="83" t="s">
        <v>324</v>
      </c>
      <c r="Z305" s="83"/>
      <c r="AA305" s="108">
        <v>45577</v>
      </c>
      <c r="AB305" s="82">
        <v>0</v>
      </c>
      <c r="AC305" s="81"/>
      <c r="AD305" s="81"/>
      <c r="AE305" s="81"/>
      <c r="AF305" s="81"/>
      <c r="AG305" s="81"/>
      <c r="AH305" s="84">
        <f>+Tabla1[[#This Row],[Total a Pagar]]</f>
        <v>18663.759239999999</v>
      </c>
      <c r="AI305" s="81"/>
      <c r="AJ305" s="188"/>
    </row>
    <row r="306" spans="1:36" hidden="1" x14ac:dyDescent="0.3">
      <c r="A306" s="78" t="s">
        <v>337</v>
      </c>
      <c r="B306" s="79">
        <v>45577</v>
      </c>
      <c r="C306" s="12" t="s">
        <v>26</v>
      </c>
      <c r="D306" s="8" t="s">
        <v>58</v>
      </c>
      <c r="E306" s="9" t="s">
        <v>340</v>
      </c>
      <c r="F306" s="9" t="s">
        <v>634</v>
      </c>
      <c r="G306" s="81" t="s">
        <v>61</v>
      </c>
      <c r="H306" s="4">
        <v>30716375184</v>
      </c>
      <c r="I306" s="4" t="s">
        <v>62</v>
      </c>
      <c r="J306" s="8" t="s">
        <v>381</v>
      </c>
      <c r="K306" s="173">
        <v>1</v>
      </c>
      <c r="L306" s="82">
        <v>10829.72</v>
      </c>
      <c r="M306" s="82">
        <f>+Tabla1[[#This Row],[Neto]]*21%</f>
        <v>2274.2411999999999</v>
      </c>
      <c r="N306" s="82">
        <v>0</v>
      </c>
      <c r="O306" s="82">
        <v>0</v>
      </c>
      <c r="P306" s="82">
        <v>0</v>
      </c>
      <c r="Q306" s="82">
        <v>0</v>
      </c>
      <c r="R306" s="82">
        <v>0</v>
      </c>
      <c r="S306" s="82">
        <v>0</v>
      </c>
      <c r="T306" s="82">
        <v>0</v>
      </c>
      <c r="U306" s="82">
        <f>+SUM(Tabla1[[#This Row],[IVA 21%]:[IVA 27%]])</f>
        <v>2274.2411999999999</v>
      </c>
      <c r="V306" s="10">
        <f>+SUM(Tabla1[[#This Row],[Neto]:[Impuestos Internos / Otros Tributos]])</f>
        <v>13103.9612</v>
      </c>
      <c r="W306" s="10">
        <f>+Tabla1[[#This Row],[Total]]</f>
        <v>13103.9612</v>
      </c>
      <c r="X306" s="82">
        <v>0</v>
      </c>
      <c r="Y306" s="83" t="s">
        <v>324</v>
      </c>
      <c r="Z306" s="83"/>
      <c r="AA306" s="108">
        <v>45577</v>
      </c>
      <c r="AB306" s="82">
        <v>0</v>
      </c>
      <c r="AC306" s="81"/>
      <c r="AD306" s="81"/>
      <c r="AE306" s="81"/>
      <c r="AF306" s="81"/>
      <c r="AG306" s="81"/>
      <c r="AH306" s="84">
        <f>+Tabla1[[#This Row],[Total a Pagar]]</f>
        <v>13103.9612</v>
      </c>
      <c r="AI306" s="81"/>
      <c r="AJ306" s="188"/>
    </row>
    <row r="307" spans="1:36" hidden="1" x14ac:dyDescent="0.3">
      <c r="A307" s="36" t="s">
        <v>337</v>
      </c>
      <c r="B307" s="55">
        <v>45578</v>
      </c>
      <c r="C307" s="37" t="s">
        <v>26</v>
      </c>
      <c r="D307" s="36" t="s">
        <v>58</v>
      </c>
      <c r="E307" s="45" t="s">
        <v>32</v>
      </c>
      <c r="F307" s="45" t="s">
        <v>505</v>
      </c>
      <c r="G307" s="38" t="s">
        <v>194</v>
      </c>
      <c r="H307" s="38">
        <v>20215810977</v>
      </c>
      <c r="I307" s="4" t="s">
        <v>560</v>
      </c>
      <c r="J307" s="36" t="s">
        <v>381</v>
      </c>
      <c r="K307" s="173">
        <v>1</v>
      </c>
      <c r="L307" s="39">
        <v>76859.5</v>
      </c>
      <c r="M307" s="39">
        <f>+Tabla1[[#This Row],[Neto]]*21%</f>
        <v>16140.494999999999</v>
      </c>
      <c r="N307" s="39">
        <v>0</v>
      </c>
      <c r="O307" s="39">
        <v>0</v>
      </c>
      <c r="P307" s="39">
        <v>0</v>
      </c>
      <c r="Q307" s="39">
        <v>0</v>
      </c>
      <c r="R307" s="39">
        <v>0</v>
      </c>
      <c r="S307" s="39">
        <v>0</v>
      </c>
      <c r="T307" s="39">
        <v>0</v>
      </c>
      <c r="U307" s="39">
        <f>+SUM(Tabla1[[#This Row],[IVA 21%]:[IVA 27%]])</f>
        <v>16140.494999999999</v>
      </c>
      <c r="V307" s="10">
        <f>+SUM(Tabla1[[#This Row],[Neto]:[Impuestos Internos / Otros Tributos]])</f>
        <v>92999.994999999995</v>
      </c>
      <c r="W307" s="39">
        <f>+Tabla1[[#This Row],[Total]]</f>
        <v>92999.994999999995</v>
      </c>
      <c r="X307" s="39">
        <v>0</v>
      </c>
      <c r="Y307" s="10" t="s">
        <v>324</v>
      </c>
      <c r="Z307" s="10"/>
      <c r="AA307" s="107">
        <v>45580</v>
      </c>
      <c r="AB307" s="50">
        <f>+Tabla1[[#This Row],[Total a Pagar]]</f>
        <v>92999.994999999995</v>
      </c>
      <c r="AC307" s="38"/>
      <c r="AD307" s="38"/>
      <c r="AE307" s="38"/>
      <c r="AF307" s="38"/>
      <c r="AG307" s="38"/>
      <c r="AH307" s="39">
        <v>0</v>
      </c>
      <c r="AI307" s="38"/>
      <c r="AJ307" s="188"/>
    </row>
    <row r="308" spans="1:36" hidden="1" x14ac:dyDescent="0.3">
      <c r="A308" s="36" t="s">
        <v>337</v>
      </c>
      <c r="B308" s="55">
        <v>45579</v>
      </c>
      <c r="C308" s="37" t="s">
        <v>26</v>
      </c>
      <c r="D308" s="36" t="s">
        <v>58</v>
      </c>
      <c r="E308" s="45" t="s">
        <v>67</v>
      </c>
      <c r="F308" s="45" t="s">
        <v>502</v>
      </c>
      <c r="G308" s="38" t="s">
        <v>503</v>
      </c>
      <c r="H308" s="38">
        <v>20085386205</v>
      </c>
      <c r="I308" s="38" t="s">
        <v>504</v>
      </c>
      <c r="J308" s="36" t="s">
        <v>381</v>
      </c>
      <c r="K308" s="173">
        <v>1</v>
      </c>
      <c r="L308" s="39">
        <v>31487.599999999999</v>
      </c>
      <c r="M308" s="39">
        <f>+Tabla1[[#This Row],[Neto]]*21%</f>
        <v>6612.3959999999997</v>
      </c>
      <c r="N308" s="39">
        <v>0</v>
      </c>
      <c r="O308" s="39">
        <v>0</v>
      </c>
      <c r="P308" s="39">
        <v>0</v>
      </c>
      <c r="Q308" s="39">
        <v>0</v>
      </c>
      <c r="R308" s="39">
        <v>0</v>
      </c>
      <c r="S308" s="39">
        <v>0</v>
      </c>
      <c r="T308" s="39">
        <v>0</v>
      </c>
      <c r="U308" s="39">
        <f>+SUM(Tabla1[[#This Row],[IVA 21%]:[IVA 27%]])</f>
        <v>6612.3959999999997</v>
      </c>
      <c r="V308" s="10">
        <f>+SUM(Tabla1[[#This Row],[Neto]:[Impuestos Internos / Otros Tributos]])</f>
        <v>38099.995999999999</v>
      </c>
      <c r="W308" s="39">
        <f>+Tabla1[[#This Row],[Total]]</f>
        <v>38099.995999999999</v>
      </c>
      <c r="X308" s="39"/>
      <c r="Y308" s="51" t="s">
        <v>324</v>
      </c>
      <c r="Z308" s="51"/>
      <c r="AA308" s="107">
        <v>45579</v>
      </c>
      <c r="AB308" s="50">
        <f>+Tabla1[[#This Row],[Total a Pagar]]</f>
        <v>38099.995999999999</v>
      </c>
      <c r="AC308" s="38"/>
      <c r="AD308" s="38"/>
      <c r="AE308" s="38"/>
      <c r="AF308" s="38"/>
      <c r="AG308" s="38"/>
      <c r="AH308" s="39">
        <v>0</v>
      </c>
      <c r="AI308" s="38"/>
      <c r="AJ308" s="188"/>
    </row>
    <row r="309" spans="1:36" hidden="1" x14ac:dyDescent="0.3">
      <c r="A309" s="8" t="s">
        <v>337</v>
      </c>
      <c r="B309" s="53">
        <v>45579</v>
      </c>
      <c r="C309" s="12" t="s">
        <v>26</v>
      </c>
      <c r="D309" s="8" t="s">
        <v>58</v>
      </c>
      <c r="E309" s="9" t="s">
        <v>507</v>
      </c>
      <c r="F309" s="9" t="s">
        <v>511</v>
      </c>
      <c r="G309" s="4" t="s">
        <v>509</v>
      </c>
      <c r="H309" s="4">
        <v>30718871009</v>
      </c>
      <c r="I309" s="4" t="s">
        <v>510</v>
      </c>
      <c r="J309" s="8" t="s">
        <v>381</v>
      </c>
      <c r="K309" s="173">
        <v>1</v>
      </c>
      <c r="L309" s="10">
        <v>72941.34</v>
      </c>
      <c r="M309" s="10">
        <f>+Tabla1[[#This Row],[Neto]]*21%</f>
        <v>15317.681399999999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f>+Tabla1[[#This Row],[Neto]]*3.6%</f>
        <v>2625.8882400000002</v>
      </c>
      <c r="T309" s="10">
        <v>0</v>
      </c>
      <c r="U309" s="10">
        <f>+SUM(Tabla1[[#This Row],[IVA 21%]:[IVA 27%]])</f>
        <v>15317.681399999999</v>
      </c>
      <c r="V309" s="10">
        <f>+SUM(Tabla1[[#This Row],[Neto]:[Impuestos Internos / Otros Tributos]])</f>
        <v>90884.909639999998</v>
      </c>
      <c r="W309" s="39">
        <f>+Tabla1[[#This Row],[Total]]</f>
        <v>90884.909639999998</v>
      </c>
      <c r="X309" s="10">
        <v>0</v>
      </c>
      <c r="Y309" s="49" t="s">
        <v>324</v>
      </c>
      <c r="AA309" s="109">
        <v>45573</v>
      </c>
      <c r="AB309" s="32">
        <f>+Tabla1[[#This Row],[Total a Pagar]]</f>
        <v>90884.909639999998</v>
      </c>
      <c r="AH309" s="10">
        <v>0</v>
      </c>
      <c r="AJ309" s="188"/>
    </row>
    <row r="310" spans="1:36" hidden="1" x14ac:dyDescent="0.3">
      <c r="A310" s="36" t="s">
        <v>337</v>
      </c>
      <c r="B310" s="55">
        <v>45579</v>
      </c>
      <c r="C310" s="37" t="s">
        <v>26</v>
      </c>
      <c r="D310" s="36" t="s">
        <v>27</v>
      </c>
      <c r="E310" s="45" t="s">
        <v>32</v>
      </c>
      <c r="F310" s="45" t="s">
        <v>531</v>
      </c>
      <c r="G310" s="38" t="s">
        <v>532</v>
      </c>
      <c r="H310" s="38">
        <v>20279055196</v>
      </c>
      <c r="I310" s="38" t="s">
        <v>533</v>
      </c>
      <c r="J310" s="36" t="s">
        <v>381</v>
      </c>
      <c r="K310" s="173">
        <v>1</v>
      </c>
      <c r="L310" s="39">
        <v>555000</v>
      </c>
      <c r="M310" s="39">
        <v>0</v>
      </c>
      <c r="N310" s="39">
        <v>0</v>
      </c>
      <c r="O310" s="39">
        <v>0</v>
      </c>
      <c r="P310" s="39">
        <v>0</v>
      </c>
      <c r="Q310" s="39">
        <v>0</v>
      </c>
      <c r="R310" s="39">
        <v>0</v>
      </c>
      <c r="S310" s="39">
        <v>0</v>
      </c>
      <c r="T310" s="39">
        <v>0</v>
      </c>
      <c r="U310" s="39">
        <f>+SUM(Tabla1[[#This Row],[IVA 21%]:[IVA 27%]])</f>
        <v>0</v>
      </c>
      <c r="V310" s="10">
        <f>+SUM(Tabla1[[#This Row],[Neto]:[Impuestos Internos / Otros Tributos]])</f>
        <v>555000</v>
      </c>
      <c r="W310" s="39">
        <f>+Tabla1[[#This Row],[Total]]</f>
        <v>555000</v>
      </c>
      <c r="X310" s="39">
        <v>0</v>
      </c>
      <c r="Y310" s="51" t="s">
        <v>324</v>
      </c>
      <c r="Z310" s="51"/>
      <c r="AA310" s="107">
        <v>45581</v>
      </c>
      <c r="AB310" s="50">
        <f>+Tabla1[[#This Row],[Total a Pagar]]</f>
        <v>555000</v>
      </c>
      <c r="AC310" s="38"/>
      <c r="AD310" s="38"/>
      <c r="AE310" s="38"/>
      <c r="AF310" s="38"/>
      <c r="AG310" s="38"/>
      <c r="AH310" s="39">
        <v>0</v>
      </c>
      <c r="AI310" s="38"/>
      <c r="AJ310" s="188"/>
    </row>
    <row r="311" spans="1:36" hidden="1" x14ac:dyDescent="0.3">
      <c r="A311" s="78" t="s">
        <v>337</v>
      </c>
      <c r="B311" s="79">
        <v>45579</v>
      </c>
      <c r="C311" s="12" t="s">
        <v>26</v>
      </c>
      <c r="D311" s="8" t="s">
        <v>27</v>
      </c>
      <c r="E311" s="9" t="s">
        <v>37</v>
      </c>
      <c r="F311" s="9" t="s">
        <v>632</v>
      </c>
      <c r="G311" s="81" t="s">
        <v>78</v>
      </c>
      <c r="H311" s="4">
        <v>20105424605</v>
      </c>
      <c r="I311" s="4" t="s">
        <v>277</v>
      </c>
      <c r="J311" s="8" t="s">
        <v>381</v>
      </c>
      <c r="K311" s="173">
        <v>1</v>
      </c>
      <c r="L311" s="82">
        <v>360</v>
      </c>
      <c r="M311" s="82">
        <v>0</v>
      </c>
      <c r="N311" s="82">
        <v>0</v>
      </c>
      <c r="O311" s="82">
        <v>0</v>
      </c>
      <c r="P311" s="82">
        <v>0</v>
      </c>
      <c r="Q311" s="82">
        <v>0</v>
      </c>
      <c r="R311" s="82">
        <v>0</v>
      </c>
      <c r="S311" s="82">
        <v>0</v>
      </c>
      <c r="T311" s="82">
        <v>0</v>
      </c>
      <c r="U311" s="82">
        <f>+SUM(Tabla1[[#This Row],[IVA 21%]:[IVA 27%]])</f>
        <v>0</v>
      </c>
      <c r="V311" s="10">
        <f>+SUM(Tabla1[[#This Row],[Neto]:[Impuestos Internos / Otros Tributos]])</f>
        <v>360</v>
      </c>
      <c r="W311" s="10">
        <f>+Tabla1[[#This Row],[Total]]</f>
        <v>360</v>
      </c>
      <c r="X311" s="82">
        <v>0</v>
      </c>
      <c r="Y311" s="83" t="s">
        <v>324</v>
      </c>
      <c r="Z311" s="83"/>
      <c r="AA311" s="108">
        <v>45579</v>
      </c>
      <c r="AB311" s="82">
        <v>0</v>
      </c>
      <c r="AC311" s="81"/>
      <c r="AD311" s="81"/>
      <c r="AE311" s="81"/>
      <c r="AF311" s="81"/>
      <c r="AG311" s="81"/>
      <c r="AH311" s="84">
        <f>+Tabla1[[#This Row],[Total a Pagar]]</f>
        <v>360</v>
      </c>
      <c r="AI311" s="81"/>
      <c r="AJ311" s="188"/>
    </row>
    <row r="312" spans="1:36" hidden="1" x14ac:dyDescent="0.3">
      <c r="A312" s="8" t="s">
        <v>337</v>
      </c>
      <c r="B312" s="53">
        <v>45579</v>
      </c>
      <c r="C312" s="12" t="s">
        <v>26</v>
      </c>
      <c r="D312" s="8" t="s">
        <v>58</v>
      </c>
      <c r="E312" s="9" t="s">
        <v>37</v>
      </c>
      <c r="F312" s="9" t="s">
        <v>761</v>
      </c>
      <c r="G312" s="4" t="s">
        <v>752</v>
      </c>
      <c r="H312" s="4">
        <v>33717008419</v>
      </c>
      <c r="I312" s="4" t="s">
        <v>753</v>
      </c>
      <c r="J312" s="8" t="s">
        <v>381</v>
      </c>
      <c r="K312" s="173">
        <v>1</v>
      </c>
      <c r="L312" s="10">
        <v>47995.87</v>
      </c>
      <c r="M312" s="10">
        <f>+Tabla1[[#This Row],[Neto]]*21%</f>
        <v>10079.1327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f>+SUM(Tabla1[[#This Row],[IVA 21%]:[IVA 27%]])</f>
        <v>10079.1327</v>
      </c>
      <c r="V312" s="10">
        <f>+SUM(Tabla1[[#This Row],[Neto]:[Impuestos Internos / Otros Tributos]])</f>
        <v>58075.002700000005</v>
      </c>
      <c r="W312" s="10">
        <f>+Tabla1[[#This Row],[Total]]</f>
        <v>58075.002700000005</v>
      </c>
      <c r="X312" s="10">
        <v>0</v>
      </c>
      <c r="Y312" s="49" t="s">
        <v>324</v>
      </c>
      <c r="AA312" s="109">
        <v>45579</v>
      </c>
      <c r="AB312" s="10">
        <v>0</v>
      </c>
      <c r="AH312" s="32">
        <f>+Tabla1[[#This Row],[Total a Pagar]]</f>
        <v>58075.002700000005</v>
      </c>
      <c r="AJ312" s="188"/>
    </row>
    <row r="313" spans="1:36" hidden="1" x14ac:dyDescent="0.3">
      <c r="A313" s="8" t="s">
        <v>337</v>
      </c>
      <c r="B313" s="53">
        <v>45579</v>
      </c>
      <c r="C313" s="12" t="s">
        <v>26</v>
      </c>
      <c r="D313" s="8" t="s">
        <v>58</v>
      </c>
      <c r="E313" s="9" t="s">
        <v>200</v>
      </c>
      <c r="F313" s="9" t="s">
        <v>754</v>
      </c>
      <c r="G313" s="4" t="s">
        <v>444</v>
      </c>
      <c r="H313" s="4">
        <v>20202328734</v>
      </c>
      <c r="I313" s="4" t="s">
        <v>715</v>
      </c>
      <c r="J313" s="8" t="s">
        <v>381</v>
      </c>
      <c r="K313" s="173">
        <v>1</v>
      </c>
      <c r="L313" s="10">
        <v>7900.83</v>
      </c>
      <c r="M313" s="10">
        <f>+Tabla1[[#This Row],[Neto]]*21%</f>
        <v>1659.1742999999999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f>+SUM(Tabla1[[#This Row],[IVA 21%]:[IVA 27%]])</f>
        <v>1659.1742999999999</v>
      </c>
      <c r="V313" s="10">
        <f>+SUM(Tabla1[[#This Row],[Neto]:[Impuestos Internos / Otros Tributos]])</f>
        <v>9560.0043000000005</v>
      </c>
      <c r="W313" s="10">
        <f>+Tabla1[[#This Row],[Total]]</f>
        <v>9560.0043000000005</v>
      </c>
      <c r="X313" s="10">
        <v>0</v>
      </c>
      <c r="Y313" s="49" t="s">
        <v>324</v>
      </c>
      <c r="AA313" s="109">
        <v>45579</v>
      </c>
      <c r="AB313" s="10">
        <v>0</v>
      </c>
      <c r="AH313" s="32">
        <f>+Tabla1[[#This Row],[Total a Pagar]]</f>
        <v>9560.0043000000005</v>
      </c>
      <c r="AJ313" s="188"/>
    </row>
    <row r="314" spans="1:36" hidden="1" x14ac:dyDescent="0.3">
      <c r="A314" s="8" t="s">
        <v>337</v>
      </c>
      <c r="B314" s="53">
        <v>45579</v>
      </c>
      <c r="C314" s="12" t="s">
        <v>26</v>
      </c>
      <c r="D314" s="8" t="s">
        <v>58</v>
      </c>
      <c r="E314" s="9" t="s">
        <v>37</v>
      </c>
      <c r="F314" s="9" t="s">
        <v>760</v>
      </c>
      <c r="G314" s="4" t="s">
        <v>752</v>
      </c>
      <c r="H314" s="4">
        <v>33717008419</v>
      </c>
      <c r="I314" s="4" t="s">
        <v>762</v>
      </c>
      <c r="J314" s="8" t="s">
        <v>381</v>
      </c>
      <c r="K314" s="173">
        <v>1</v>
      </c>
      <c r="L314" s="10">
        <v>6617.81</v>
      </c>
      <c r="M314" s="10">
        <f>+Tabla1[[#This Row],[Neto]]*21%</f>
        <v>1389.7401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f>+SUM(Tabla1[[#This Row],[IVA 21%]:[IVA 27%]])</f>
        <v>1389.7401</v>
      </c>
      <c r="V314" s="10">
        <f>+SUM(Tabla1[[#This Row],[Neto]:[Impuestos Internos / Otros Tributos]])</f>
        <v>8007.5501000000004</v>
      </c>
      <c r="W314" s="10">
        <f>+Tabla1[[#This Row],[Total]]</f>
        <v>8007.5501000000004</v>
      </c>
      <c r="X314" s="10">
        <v>0</v>
      </c>
      <c r="Y314" s="49" t="s">
        <v>324</v>
      </c>
      <c r="AA314" s="109">
        <v>45579</v>
      </c>
      <c r="AB314" s="10">
        <v>0</v>
      </c>
      <c r="AH314" s="32">
        <f>+Tabla1[[#This Row],[Total a Pagar]]</f>
        <v>8007.5501000000004</v>
      </c>
      <c r="AJ314" s="188"/>
    </row>
    <row r="315" spans="1:36" hidden="1" x14ac:dyDescent="0.3">
      <c r="A315" s="8" t="s">
        <v>337</v>
      </c>
      <c r="B315" s="53">
        <v>45579</v>
      </c>
      <c r="C315" s="12" t="s">
        <v>26</v>
      </c>
      <c r="D315" s="8" t="s">
        <v>58</v>
      </c>
      <c r="E315" s="9" t="s">
        <v>507</v>
      </c>
      <c r="F315" s="9" t="s">
        <v>764</v>
      </c>
      <c r="G315" s="4" t="s">
        <v>763</v>
      </c>
      <c r="H315" s="4">
        <v>30709867578</v>
      </c>
      <c r="I315" s="4" t="s">
        <v>96</v>
      </c>
      <c r="J315" s="8" t="s">
        <v>381</v>
      </c>
      <c r="K315" s="173">
        <v>1</v>
      </c>
      <c r="L315" s="10">
        <v>25702.48</v>
      </c>
      <c r="M315" s="10">
        <f>+Tabla1[[#This Row],[Neto]]*21%</f>
        <v>5397.5207999999993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f>+SUM(Tabla1[[#This Row],[IVA 21%]:[IVA 27%]])</f>
        <v>5397.5207999999993</v>
      </c>
      <c r="V315" s="10">
        <f>+SUM(Tabla1[[#This Row],[Neto]:[Impuestos Internos / Otros Tributos]])</f>
        <v>31100.000799999998</v>
      </c>
      <c r="W315" s="10">
        <f>+Tabla1[[#This Row],[Total]]</f>
        <v>31100.000799999998</v>
      </c>
      <c r="X315" s="10">
        <v>0</v>
      </c>
      <c r="Y315" s="49" t="s">
        <v>324</v>
      </c>
      <c r="AA315" s="109">
        <v>45579</v>
      </c>
      <c r="AB315" s="10">
        <v>0</v>
      </c>
      <c r="AH315" s="32">
        <f>+Tabla1[[#This Row],[Total a Pagar]]</f>
        <v>31100.000799999998</v>
      </c>
      <c r="AJ315" s="188"/>
    </row>
    <row r="316" spans="1:36" hidden="1" x14ac:dyDescent="0.3">
      <c r="A316" s="36" t="s">
        <v>337</v>
      </c>
      <c r="B316" s="55">
        <v>45580</v>
      </c>
      <c r="C316" s="37" t="s">
        <v>26</v>
      </c>
      <c r="D316" s="36" t="s">
        <v>27</v>
      </c>
      <c r="E316" s="45" t="s">
        <v>28</v>
      </c>
      <c r="F316" s="45" t="s">
        <v>185</v>
      </c>
      <c r="G316" s="38" t="s">
        <v>162</v>
      </c>
      <c r="H316" s="38">
        <v>20407752458</v>
      </c>
      <c r="I316" s="38" t="s">
        <v>514</v>
      </c>
      <c r="J316" s="36" t="s">
        <v>381</v>
      </c>
      <c r="K316" s="173">
        <v>1</v>
      </c>
      <c r="L316" s="39">
        <v>1048000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f>+SUM(Tabla1[[#This Row],[IVA 21%]:[IVA 27%]])</f>
        <v>0</v>
      </c>
      <c r="V316" s="10">
        <f>+SUM(Tabla1[[#This Row],[Neto]:[Impuestos Internos / Otros Tributos]])</f>
        <v>1048000</v>
      </c>
      <c r="W316" s="39">
        <f>+Tabla1[[#This Row],[Total]]</f>
        <v>1048000</v>
      </c>
      <c r="X316" s="39">
        <v>0</v>
      </c>
      <c r="Y316" s="51" t="s">
        <v>324</v>
      </c>
      <c r="Z316" s="51"/>
      <c r="AA316" s="107">
        <v>45581</v>
      </c>
      <c r="AB316" s="50">
        <f>+Tabla1[[#This Row],[Total a Pagar]]</f>
        <v>1048000</v>
      </c>
      <c r="AC316" s="38"/>
      <c r="AD316" s="38"/>
      <c r="AE316" s="38"/>
      <c r="AF316" s="38"/>
      <c r="AG316" s="38"/>
      <c r="AH316" s="39">
        <v>0</v>
      </c>
      <c r="AI316" s="38"/>
      <c r="AJ316" s="188"/>
    </row>
    <row r="317" spans="1:36" hidden="1" x14ac:dyDescent="0.3">
      <c r="A317" s="36" t="s">
        <v>337</v>
      </c>
      <c r="B317" s="55">
        <v>45580</v>
      </c>
      <c r="C317" s="37" t="s">
        <v>26</v>
      </c>
      <c r="D317" s="36" t="s">
        <v>27</v>
      </c>
      <c r="E317" s="45" t="s">
        <v>37</v>
      </c>
      <c r="F317" s="45" t="s">
        <v>515</v>
      </c>
      <c r="G317" s="38" t="s">
        <v>393</v>
      </c>
      <c r="H317" s="38">
        <v>27328052887</v>
      </c>
      <c r="I317" s="38" t="s">
        <v>516</v>
      </c>
      <c r="J317" s="36" t="s">
        <v>381</v>
      </c>
      <c r="K317" s="173">
        <v>1</v>
      </c>
      <c r="L317" s="39">
        <v>729600</v>
      </c>
      <c r="M317" s="39">
        <v>0</v>
      </c>
      <c r="N317" s="39">
        <v>0</v>
      </c>
      <c r="O317" s="39">
        <v>0</v>
      </c>
      <c r="P317" s="39">
        <v>0</v>
      </c>
      <c r="Q317" s="39">
        <v>0</v>
      </c>
      <c r="R317" s="39">
        <v>0</v>
      </c>
      <c r="S317" s="39">
        <v>0</v>
      </c>
      <c r="T317" s="39">
        <v>0</v>
      </c>
      <c r="U317" s="39">
        <f>+SUM(Tabla1[[#This Row],[IVA 21%]:[IVA 27%]])</f>
        <v>0</v>
      </c>
      <c r="V317" s="10">
        <f>+SUM(Tabla1[[#This Row],[Neto]:[Impuestos Internos / Otros Tributos]])</f>
        <v>729600</v>
      </c>
      <c r="W317" s="39">
        <f>+Tabla1[[#This Row],[Total]]</f>
        <v>729600</v>
      </c>
      <c r="X317" s="39">
        <v>0</v>
      </c>
      <c r="Y317" s="51" t="s">
        <v>324</v>
      </c>
      <c r="Z317" s="51"/>
      <c r="AA317" s="107">
        <v>45581</v>
      </c>
      <c r="AB317" s="32">
        <f>+Tabla1[[#This Row],[Total a Pagar]]</f>
        <v>729600</v>
      </c>
      <c r="AC317" s="38"/>
      <c r="AD317" s="38"/>
      <c r="AE317" s="38"/>
      <c r="AF317" s="38"/>
      <c r="AG317" s="38"/>
      <c r="AH317" s="39">
        <v>0</v>
      </c>
      <c r="AI317" s="38"/>
      <c r="AJ317" s="188"/>
    </row>
    <row r="318" spans="1:36" hidden="1" x14ac:dyDescent="0.3">
      <c r="A318" s="8" t="s">
        <v>337</v>
      </c>
      <c r="B318" s="55">
        <v>45580</v>
      </c>
      <c r="C318" s="37" t="s">
        <v>26</v>
      </c>
      <c r="D318" s="36" t="s">
        <v>27</v>
      </c>
      <c r="E318" s="45" t="s">
        <v>28</v>
      </c>
      <c r="F318" s="45" t="s">
        <v>404</v>
      </c>
      <c r="G318" s="38" t="s">
        <v>168</v>
      </c>
      <c r="H318" s="38">
        <v>27362344072</v>
      </c>
      <c r="I318" s="4" t="s">
        <v>520</v>
      </c>
      <c r="J318" s="36" t="s">
        <v>381</v>
      </c>
      <c r="K318" s="173">
        <v>1</v>
      </c>
      <c r="L318" s="39">
        <v>693600</v>
      </c>
      <c r="M318" s="39">
        <v>0</v>
      </c>
      <c r="N318" s="39">
        <v>0</v>
      </c>
      <c r="O318" s="39">
        <v>0</v>
      </c>
      <c r="P318" s="39">
        <v>0</v>
      </c>
      <c r="Q318" s="39">
        <v>0</v>
      </c>
      <c r="R318" s="39">
        <v>0</v>
      </c>
      <c r="S318" s="39">
        <v>0</v>
      </c>
      <c r="T318" s="39">
        <v>0</v>
      </c>
      <c r="U318" s="39">
        <f>+SUM(Tabla1[[#This Row],[IVA 21%]:[IVA 27%]])</f>
        <v>0</v>
      </c>
      <c r="V318" s="10">
        <f>+SUM(Tabla1[[#This Row],[Neto]:[Impuestos Internos / Otros Tributos]])</f>
        <v>693600</v>
      </c>
      <c r="W318" s="39">
        <f>+Tabla1[[#This Row],[Total]]</f>
        <v>693600</v>
      </c>
      <c r="X318" s="39">
        <v>0</v>
      </c>
      <c r="Y318" s="51" t="s">
        <v>324</v>
      </c>
      <c r="Z318" s="51"/>
      <c r="AA318" s="107">
        <v>45581</v>
      </c>
      <c r="AB318" s="32">
        <f>+Tabla1[[#This Row],[Total a Pagar]]</f>
        <v>693600</v>
      </c>
      <c r="AC318" s="38"/>
      <c r="AD318" s="38"/>
      <c r="AE318" s="38"/>
      <c r="AF318" s="38"/>
      <c r="AG318" s="38"/>
      <c r="AH318" s="39">
        <v>0</v>
      </c>
      <c r="AI318" s="38"/>
      <c r="AJ318" s="188"/>
    </row>
    <row r="319" spans="1:36" hidden="1" x14ac:dyDescent="0.3">
      <c r="A319" s="36" t="s">
        <v>337</v>
      </c>
      <c r="B319" s="55">
        <v>45580</v>
      </c>
      <c r="C319" s="37" t="s">
        <v>26</v>
      </c>
      <c r="D319" s="36" t="s">
        <v>27</v>
      </c>
      <c r="E319" s="45" t="s">
        <v>37</v>
      </c>
      <c r="F319" s="45" t="s">
        <v>432</v>
      </c>
      <c r="G319" s="38" t="s">
        <v>175</v>
      </c>
      <c r="H319" s="38">
        <v>20385006226</v>
      </c>
      <c r="I319" s="4" t="s">
        <v>514</v>
      </c>
      <c r="J319" s="36" t="s">
        <v>381</v>
      </c>
      <c r="K319" s="173">
        <v>1</v>
      </c>
      <c r="L319" s="39">
        <v>548400</v>
      </c>
      <c r="M319" s="39">
        <v>0</v>
      </c>
      <c r="N319" s="39">
        <v>0</v>
      </c>
      <c r="O319" s="39">
        <v>0</v>
      </c>
      <c r="P319" s="39">
        <v>0</v>
      </c>
      <c r="Q319" s="39">
        <v>0</v>
      </c>
      <c r="R319" s="39">
        <v>0</v>
      </c>
      <c r="S319" s="39">
        <v>0</v>
      </c>
      <c r="T319" s="39">
        <v>0</v>
      </c>
      <c r="U319" s="39">
        <f>+SUM(Tabla1[[#This Row],[IVA 21%]:[IVA 27%]])</f>
        <v>0</v>
      </c>
      <c r="V319" s="10">
        <f>+SUM(Tabla1[[#This Row],[Neto]:[Impuestos Internos / Otros Tributos]])</f>
        <v>548400</v>
      </c>
      <c r="W319" s="39">
        <f>+Tabla1[[#This Row],[Total]]</f>
        <v>548400</v>
      </c>
      <c r="X319" s="39">
        <v>0</v>
      </c>
      <c r="Y319" s="51" t="s">
        <v>324</v>
      </c>
      <c r="Z319" s="51"/>
      <c r="AA319" s="107">
        <v>45581</v>
      </c>
      <c r="AB319" s="50">
        <f>+Tabla1[[#This Row],[Total a Pagar]]</f>
        <v>548400</v>
      </c>
      <c r="AC319" s="38"/>
      <c r="AD319" s="38"/>
      <c r="AE319" s="38"/>
      <c r="AF319" s="38"/>
      <c r="AG319" s="38"/>
      <c r="AH319" s="39">
        <v>0</v>
      </c>
      <c r="AI319" s="38"/>
      <c r="AJ319" s="188"/>
    </row>
    <row r="320" spans="1:36" hidden="1" x14ac:dyDescent="0.3">
      <c r="A320" s="36" t="s">
        <v>337</v>
      </c>
      <c r="B320" s="55">
        <v>45580</v>
      </c>
      <c r="C320" s="37" t="s">
        <v>26</v>
      </c>
      <c r="D320" s="36" t="s">
        <v>27</v>
      </c>
      <c r="E320" s="45" t="s">
        <v>28</v>
      </c>
      <c r="F320" s="45" t="s">
        <v>432</v>
      </c>
      <c r="G320" s="38" t="s">
        <v>183</v>
      </c>
      <c r="H320" s="38">
        <v>20352639606</v>
      </c>
      <c r="I320" s="38" t="s">
        <v>517</v>
      </c>
      <c r="J320" s="36" t="s">
        <v>381</v>
      </c>
      <c r="K320" s="173">
        <v>1</v>
      </c>
      <c r="L320" s="39">
        <v>1074000</v>
      </c>
      <c r="M320" s="39">
        <v>0</v>
      </c>
      <c r="N320" s="39">
        <v>0</v>
      </c>
      <c r="O320" s="39">
        <v>0</v>
      </c>
      <c r="P320" s="39">
        <v>0</v>
      </c>
      <c r="Q320" s="39">
        <v>0</v>
      </c>
      <c r="R320" s="39">
        <v>0</v>
      </c>
      <c r="S320" s="39">
        <v>0</v>
      </c>
      <c r="T320" s="39">
        <v>0</v>
      </c>
      <c r="U320" s="39">
        <f>+SUM(Tabla1[[#This Row],[IVA 21%]:[IVA 27%]])</f>
        <v>0</v>
      </c>
      <c r="V320" s="10">
        <f>+SUM(Tabla1[[#This Row],[Neto]:[Impuestos Internos / Otros Tributos]])</f>
        <v>1074000</v>
      </c>
      <c r="W320" s="39">
        <f>+Tabla1[[#This Row],[Total]]</f>
        <v>1074000</v>
      </c>
      <c r="X320" s="39">
        <v>0</v>
      </c>
      <c r="Y320" s="51" t="s">
        <v>324</v>
      </c>
      <c r="Z320" s="51"/>
      <c r="AA320" s="107">
        <v>45581</v>
      </c>
      <c r="AB320" s="50">
        <f>+Tabla1[[#This Row],[Total a Pagar]]</f>
        <v>1074000</v>
      </c>
      <c r="AC320" s="38"/>
      <c r="AD320" s="38"/>
      <c r="AE320" s="38"/>
      <c r="AF320" s="38"/>
      <c r="AG320" s="38"/>
      <c r="AH320" s="39">
        <v>0</v>
      </c>
      <c r="AI320" s="38"/>
      <c r="AJ320" s="188"/>
    </row>
    <row r="321" spans="1:36" hidden="1" x14ac:dyDescent="0.3">
      <c r="A321" s="36" t="s">
        <v>337</v>
      </c>
      <c r="B321" s="55">
        <v>45580</v>
      </c>
      <c r="C321" s="37" t="s">
        <v>26</v>
      </c>
      <c r="D321" s="36" t="s">
        <v>27</v>
      </c>
      <c r="E321" s="45" t="s">
        <v>32</v>
      </c>
      <c r="F321" s="45" t="s">
        <v>167</v>
      </c>
      <c r="G321" s="38" t="s">
        <v>34</v>
      </c>
      <c r="H321" s="38">
        <v>27260306680</v>
      </c>
      <c r="I321" s="4" t="s">
        <v>596</v>
      </c>
      <c r="J321" s="36" t="s">
        <v>381</v>
      </c>
      <c r="K321" s="173">
        <v>1</v>
      </c>
      <c r="L321" s="39">
        <v>400000</v>
      </c>
      <c r="M321" s="39">
        <v>0</v>
      </c>
      <c r="N321" s="39">
        <v>0</v>
      </c>
      <c r="O321" s="39">
        <v>0</v>
      </c>
      <c r="P321" s="39">
        <v>0</v>
      </c>
      <c r="Q321" s="39">
        <v>0</v>
      </c>
      <c r="R321" s="39">
        <v>0</v>
      </c>
      <c r="S321" s="39">
        <v>0</v>
      </c>
      <c r="T321" s="39">
        <v>0</v>
      </c>
      <c r="U321" s="39">
        <f>+SUM(Tabla1[[#This Row],[IVA 21%]:[IVA 27%]])</f>
        <v>0</v>
      </c>
      <c r="V321" s="10">
        <f>+SUM(Tabla1[[#This Row],[Neto]:[Impuestos Internos / Otros Tributos]])</f>
        <v>400000</v>
      </c>
      <c r="W321" s="39">
        <f>+Tabla1[[#This Row],[Total]]</f>
        <v>400000</v>
      </c>
      <c r="X321" s="39">
        <v>0</v>
      </c>
      <c r="Y321" s="49" t="s">
        <v>324</v>
      </c>
      <c r="AA321" s="109">
        <v>45582</v>
      </c>
      <c r="AB321" s="50">
        <f>+Tabla1[[#This Row],[Total a Pagar]]</f>
        <v>400000</v>
      </c>
      <c r="AC321" s="38"/>
      <c r="AD321" s="38"/>
      <c r="AE321" s="38"/>
      <c r="AF321" s="38"/>
      <c r="AG321" s="38"/>
      <c r="AH321" s="39">
        <v>0</v>
      </c>
      <c r="AI321" s="38"/>
      <c r="AJ321" s="188"/>
    </row>
    <row r="322" spans="1:36" hidden="1" x14ac:dyDescent="0.3">
      <c r="A322" s="36" t="s">
        <v>337</v>
      </c>
      <c r="B322" s="55">
        <v>45580</v>
      </c>
      <c r="C322" s="37" t="s">
        <v>26</v>
      </c>
      <c r="D322" s="36" t="s">
        <v>27</v>
      </c>
      <c r="E322" s="45" t="s">
        <v>32</v>
      </c>
      <c r="F322" s="45" t="s">
        <v>535</v>
      </c>
      <c r="G322" s="38" t="s">
        <v>34</v>
      </c>
      <c r="H322" s="38">
        <v>27260306680</v>
      </c>
      <c r="I322" s="38" t="s">
        <v>536</v>
      </c>
      <c r="J322" s="36" t="s">
        <v>381</v>
      </c>
      <c r="K322" s="173">
        <v>1</v>
      </c>
      <c r="L322" s="39">
        <v>432000</v>
      </c>
      <c r="M322" s="39">
        <v>0</v>
      </c>
      <c r="N322" s="39">
        <v>0</v>
      </c>
      <c r="O322" s="39">
        <v>0</v>
      </c>
      <c r="P322" s="39">
        <v>0</v>
      </c>
      <c r="Q322" s="39">
        <v>0</v>
      </c>
      <c r="R322" s="39">
        <v>0</v>
      </c>
      <c r="S322" s="39">
        <v>0</v>
      </c>
      <c r="T322" s="39">
        <v>0</v>
      </c>
      <c r="U322" s="39">
        <f>+SUM(Tabla1[[#This Row],[IVA 21%]:[IVA 27%]])</f>
        <v>0</v>
      </c>
      <c r="V322" s="10">
        <f>+SUM(Tabla1[[#This Row],[Neto]:[Impuestos Internos / Otros Tributos]])</f>
        <v>432000</v>
      </c>
      <c r="W322" s="39">
        <f>+Tabla1[[#This Row],[Total]]</f>
        <v>432000</v>
      </c>
      <c r="X322" s="39">
        <v>0</v>
      </c>
      <c r="Y322" s="49" t="s">
        <v>324</v>
      </c>
      <c r="AA322" s="107">
        <v>45582</v>
      </c>
      <c r="AB322" s="50">
        <f>+Tabla1[[#This Row],[Total a Pagar]]</f>
        <v>432000</v>
      </c>
      <c r="AC322" s="38"/>
      <c r="AD322" s="38"/>
      <c r="AE322" s="38"/>
      <c r="AF322" s="38"/>
      <c r="AG322" s="38"/>
      <c r="AH322" s="39">
        <v>0</v>
      </c>
      <c r="AI322" s="38"/>
      <c r="AJ322" s="188"/>
    </row>
    <row r="323" spans="1:36" hidden="1" x14ac:dyDescent="0.3">
      <c r="A323" s="36" t="s">
        <v>337</v>
      </c>
      <c r="B323" s="55">
        <v>45580</v>
      </c>
      <c r="C323" s="37" t="s">
        <v>26</v>
      </c>
      <c r="D323" s="36" t="s">
        <v>27</v>
      </c>
      <c r="E323" s="45" t="s">
        <v>28</v>
      </c>
      <c r="F323" s="45" t="s">
        <v>176</v>
      </c>
      <c r="G323" s="38" t="s">
        <v>537</v>
      </c>
      <c r="H323" s="38">
        <v>23386529744</v>
      </c>
      <c r="I323" s="4" t="s">
        <v>539</v>
      </c>
      <c r="J323" s="36" t="s">
        <v>381</v>
      </c>
      <c r="K323" s="173">
        <v>1</v>
      </c>
      <c r="L323" s="39">
        <v>496000</v>
      </c>
      <c r="M323" s="39">
        <v>0</v>
      </c>
      <c r="N323" s="39">
        <v>0</v>
      </c>
      <c r="O323" s="39">
        <v>0</v>
      </c>
      <c r="P323" s="39">
        <v>0</v>
      </c>
      <c r="Q323" s="39">
        <v>0</v>
      </c>
      <c r="R323" s="39">
        <v>0</v>
      </c>
      <c r="S323" s="39">
        <v>0</v>
      </c>
      <c r="T323" s="39">
        <v>0</v>
      </c>
      <c r="U323" s="39">
        <f>+SUM(Tabla1[[#This Row],[IVA 21%]:[IVA 27%]])</f>
        <v>0</v>
      </c>
      <c r="V323" s="10">
        <f>+SUM(Tabla1[[#This Row],[Neto]:[Impuestos Internos / Otros Tributos]])</f>
        <v>496000</v>
      </c>
      <c r="W323" s="39">
        <f>+Tabla1[[#This Row],[Total]]</f>
        <v>496000</v>
      </c>
      <c r="X323" s="39">
        <v>0</v>
      </c>
      <c r="Y323" s="49" t="s">
        <v>324</v>
      </c>
      <c r="AA323" s="107">
        <v>45582</v>
      </c>
      <c r="AB323" s="50">
        <f>+Tabla1[[#This Row],[Total a Pagar]]</f>
        <v>496000</v>
      </c>
      <c r="AC323" s="38"/>
      <c r="AD323" s="38"/>
      <c r="AE323" s="38"/>
      <c r="AF323" s="38"/>
      <c r="AG323" s="38"/>
      <c r="AH323" s="39">
        <v>0</v>
      </c>
      <c r="AI323" s="38"/>
      <c r="AJ323" s="188"/>
    </row>
    <row r="324" spans="1:36" hidden="1" x14ac:dyDescent="0.3">
      <c r="A324" s="36" t="s">
        <v>337</v>
      </c>
      <c r="B324" s="55">
        <v>45580</v>
      </c>
      <c r="C324" s="37" t="s">
        <v>26</v>
      </c>
      <c r="D324" s="36" t="s">
        <v>27</v>
      </c>
      <c r="E324" s="45" t="s">
        <v>28</v>
      </c>
      <c r="F324" s="45" t="s">
        <v>247</v>
      </c>
      <c r="G324" s="38" t="s">
        <v>31</v>
      </c>
      <c r="H324" s="38">
        <v>27386533550</v>
      </c>
      <c r="I324" s="38" t="s">
        <v>539</v>
      </c>
      <c r="J324" s="36" t="s">
        <v>381</v>
      </c>
      <c r="K324" s="173">
        <v>1</v>
      </c>
      <c r="L324" s="39">
        <v>496000</v>
      </c>
      <c r="M324" s="39">
        <v>0</v>
      </c>
      <c r="N324" s="39">
        <v>0</v>
      </c>
      <c r="O324" s="39">
        <v>0</v>
      </c>
      <c r="P324" s="39">
        <v>0</v>
      </c>
      <c r="Q324" s="39">
        <v>0</v>
      </c>
      <c r="R324" s="39">
        <v>0</v>
      </c>
      <c r="S324" s="39">
        <v>0</v>
      </c>
      <c r="T324" s="39">
        <v>0</v>
      </c>
      <c r="U324" s="39">
        <f>+SUM(Tabla1[[#This Row],[IVA 21%]:[IVA 27%]])</f>
        <v>0</v>
      </c>
      <c r="V324" s="10">
        <f>+SUM(Tabla1[[#This Row],[Neto]:[Impuestos Internos / Otros Tributos]])</f>
        <v>496000</v>
      </c>
      <c r="W324" s="39">
        <f>+Tabla1[[#This Row],[Total]]</f>
        <v>496000</v>
      </c>
      <c r="X324" s="39">
        <v>0</v>
      </c>
      <c r="Y324" s="49" t="s">
        <v>324</v>
      </c>
      <c r="AA324" s="107">
        <v>45582</v>
      </c>
      <c r="AB324" s="50">
        <f>+Tabla1[[#This Row],[Total a Pagar]]</f>
        <v>496000</v>
      </c>
      <c r="AC324" s="38"/>
      <c r="AD324" s="38"/>
      <c r="AE324" s="38"/>
      <c r="AF324" s="38"/>
      <c r="AG324" s="38"/>
      <c r="AH324" s="39">
        <v>0</v>
      </c>
      <c r="AI324" s="38"/>
      <c r="AJ324" s="188"/>
    </row>
    <row r="325" spans="1:36" hidden="1" x14ac:dyDescent="0.3">
      <c r="A325" s="36" t="s">
        <v>337</v>
      </c>
      <c r="B325" s="55">
        <v>45580</v>
      </c>
      <c r="C325" s="37" t="s">
        <v>26</v>
      </c>
      <c r="D325" s="36" t="s">
        <v>27</v>
      </c>
      <c r="E325" s="45" t="s">
        <v>28</v>
      </c>
      <c r="F325" s="45" t="s">
        <v>540</v>
      </c>
      <c r="G325" s="38" t="s">
        <v>243</v>
      </c>
      <c r="H325" s="38">
        <v>27422057906</v>
      </c>
      <c r="I325" s="38" t="s">
        <v>541</v>
      </c>
      <c r="J325" s="36" t="s">
        <v>381</v>
      </c>
      <c r="K325" s="173">
        <v>1</v>
      </c>
      <c r="L325" s="39">
        <v>90000</v>
      </c>
      <c r="M325" s="39">
        <v>0</v>
      </c>
      <c r="N325" s="39">
        <v>0</v>
      </c>
      <c r="O325" s="39">
        <v>0</v>
      </c>
      <c r="P325" s="39">
        <v>0</v>
      </c>
      <c r="Q325" s="39">
        <v>0</v>
      </c>
      <c r="R325" s="39">
        <v>0</v>
      </c>
      <c r="S325" s="39">
        <v>0</v>
      </c>
      <c r="T325" s="39">
        <v>0</v>
      </c>
      <c r="U325" s="39">
        <f>+SUM(Tabla1[[#This Row],[IVA 21%]:[IVA 27%]])</f>
        <v>0</v>
      </c>
      <c r="V325" s="10">
        <f>+SUM(Tabla1[[#This Row],[Neto]:[Impuestos Internos / Otros Tributos]])</f>
        <v>90000</v>
      </c>
      <c r="W325" s="39">
        <f>+Tabla1[[#This Row],[Total]]</f>
        <v>90000</v>
      </c>
      <c r="X325" s="39">
        <v>0</v>
      </c>
      <c r="Y325" s="49" t="s">
        <v>324</v>
      </c>
      <c r="AA325" s="107">
        <v>45582</v>
      </c>
      <c r="AB325" s="50">
        <f>+Tabla1[[#This Row],[Total a Pagar]]</f>
        <v>90000</v>
      </c>
      <c r="AC325" s="38"/>
      <c r="AD325" s="38"/>
      <c r="AE325" s="38"/>
      <c r="AF325" s="38"/>
      <c r="AG325" s="38"/>
      <c r="AH325" s="39">
        <v>0</v>
      </c>
      <c r="AI325" s="38"/>
      <c r="AJ325" s="188"/>
    </row>
    <row r="326" spans="1:36" hidden="1" x14ac:dyDescent="0.3">
      <c r="A326" s="67" t="s">
        <v>337</v>
      </c>
      <c r="B326" s="68">
        <v>45580</v>
      </c>
      <c r="C326" s="69" t="s">
        <v>26</v>
      </c>
      <c r="D326" s="67" t="s">
        <v>27</v>
      </c>
      <c r="E326" s="70" t="s">
        <v>37</v>
      </c>
      <c r="F326" s="70" t="s">
        <v>558</v>
      </c>
      <c r="G326" s="71" t="s">
        <v>393</v>
      </c>
      <c r="H326" s="71">
        <v>27328052887</v>
      </c>
      <c r="I326" s="71" t="s">
        <v>559</v>
      </c>
      <c r="J326" s="67" t="s">
        <v>381</v>
      </c>
      <c r="K326" s="173">
        <v>1</v>
      </c>
      <c r="L326" s="72">
        <v>100000</v>
      </c>
      <c r="M326" s="72">
        <v>0</v>
      </c>
      <c r="N326" s="72">
        <v>0</v>
      </c>
      <c r="O326" s="72">
        <v>0</v>
      </c>
      <c r="P326" s="72">
        <v>0</v>
      </c>
      <c r="Q326" s="72">
        <v>0</v>
      </c>
      <c r="R326" s="72">
        <v>0</v>
      </c>
      <c r="S326" s="72">
        <v>0</v>
      </c>
      <c r="T326" s="72">
        <v>0</v>
      </c>
      <c r="U326" s="72">
        <f>+SUM(Tabla1[[#This Row],[IVA 21%]:[IVA 27%]])</f>
        <v>0</v>
      </c>
      <c r="V326" s="10">
        <f>+SUM(Tabla1[[#This Row],[Neto]:[Impuestos Internos / Otros Tributos]])</f>
        <v>100000</v>
      </c>
      <c r="W326" s="72">
        <f>+Tabla1[[#This Row],[Total]]</f>
        <v>100000</v>
      </c>
      <c r="X326" s="72">
        <v>0</v>
      </c>
      <c r="Y326" s="73" t="s">
        <v>325</v>
      </c>
      <c r="Z326" s="73"/>
      <c r="AA326" s="114"/>
      <c r="AB326" s="72"/>
      <c r="AC326" s="71"/>
      <c r="AD326" s="71"/>
      <c r="AE326" s="71"/>
      <c r="AF326" s="71"/>
      <c r="AG326" s="71"/>
      <c r="AH326" s="72"/>
      <c r="AI326" s="71"/>
      <c r="AJ326" s="188"/>
    </row>
    <row r="327" spans="1:36" hidden="1" x14ac:dyDescent="0.3">
      <c r="A327" s="8" t="s">
        <v>337</v>
      </c>
      <c r="B327" s="53">
        <v>45580</v>
      </c>
      <c r="C327" s="12" t="s">
        <v>410</v>
      </c>
      <c r="D327" s="8" t="s">
        <v>58</v>
      </c>
      <c r="E327" s="9" t="s">
        <v>37</v>
      </c>
      <c r="F327" s="9" t="s">
        <v>616</v>
      </c>
      <c r="G327" s="4" t="s">
        <v>412</v>
      </c>
      <c r="H327" s="4">
        <v>30629233144</v>
      </c>
      <c r="I327" s="4" t="s">
        <v>617</v>
      </c>
      <c r="J327" s="8" t="s">
        <v>381</v>
      </c>
      <c r="K327" s="173">
        <v>1</v>
      </c>
      <c r="L327" s="10">
        <v>1095000</v>
      </c>
      <c r="M327" s="10">
        <v>0</v>
      </c>
      <c r="N327" s="10">
        <f>+Tabla1[[#This Row],[Neto]]*10.5%</f>
        <v>114975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f>+SUM(Tabla1[[#This Row],[IVA 21%]:[IVA 27%]])</f>
        <v>114975</v>
      </c>
      <c r="V327" s="10">
        <f>+SUM(Tabla1[[#This Row],[Neto]:[Impuestos Internos / Otros Tributos]])</f>
        <v>1209975</v>
      </c>
      <c r="W327" s="10">
        <f>+Tabla1[[#This Row],[Total]]</f>
        <v>1209975</v>
      </c>
      <c r="X327" s="10">
        <f>+Tabla1[[#This Row],[Neto]]*2%</f>
        <v>21900</v>
      </c>
      <c r="Y327" s="49" t="s">
        <v>324</v>
      </c>
      <c r="AA327" s="109">
        <v>45589</v>
      </c>
      <c r="AB327" s="32">
        <f>+Tabla1[[#This Row],[Total a Pagar]]-Tabla1[[#This Row],[SICORE]]</f>
        <v>1188075</v>
      </c>
      <c r="AH327" s="10">
        <v>0</v>
      </c>
      <c r="AJ327" s="188"/>
    </row>
    <row r="328" spans="1:36" hidden="1" x14ac:dyDescent="0.3">
      <c r="A328" s="8" t="s">
        <v>337</v>
      </c>
      <c r="B328" s="53">
        <v>45580</v>
      </c>
      <c r="C328" s="12" t="s">
        <v>26</v>
      </c>
      <c r="D328" s="8" t="s">
        <v>58</v>
      </c>
      <c r="E328" s="9" t="s">
        <v>37</v>
      </c>
      <c r="F328" s="9" t="s">
        <v>667</v>
      </c>
      <c r="G328" s="4" t="s">
        <v>661</v>
      </c>
      <c r="H328" s="4">
        <v>20203998091</v>
      </c>
      <c r="I328" s="4" t="s">
        <v>142</v>
      </c>
      <c r="J328" s="8" t="s">
        <v>381</v>
      </c>
      <c r="K328" s="173">
        <v>1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820000</v>
      </c>
      <c r="R328" s="10">
        <v>0</v>
      </c>
      <c r="S328" s="10">
        <v>0</v>
      </c>
      <c r="T328" s="10">
        <v>0</v>
      </c>
      <c r="U328" s="10">
        <f>+SUM(Tabla1[[#This Row],[IVA 21%]:[IVA 27%]])</f>
        <v>0</v>
      </c>
      <c r="V328" s="10">
        <f>+SUM(Tabla1[[#This Row],[Neto]:[Impuestos Internos / Otros Tributos]])</f>
        <v>820000</v>
      </c>
      <c r="W328" s="10">
        <f>+Tabla1[[#This Row],[Total]]</f>
        <v>820000</v>
      </c>
      <c r="X328" s="10"/>
      <c r="Y328" s="49" t="s">
        <v>325</v>
      </c>
      <c r="AA328" s="109"/>
      <c r="AJ328" s="188"/>
    </row>
    <row r="329" spans="1:36" hidden="1" x14ac:dyDescent="0.3">
      <c r="A329" s="78" t="s">
        <v>337</v>
      </c>
      <c r="B329" s="79">
        <v>45580</v>
      </c>
      <c r="C329" s="80" t="s">
        <v>26</v>
      </c>
      <c r="D329" s="8" t="s">
        <v>58</v>
      </c>
      <c r="E329" s="9" t="s">
        <v>74</v>
      </c>
      <c r="F329" s="9" t="s">
        <v>683</v>
      </c>
      <c r="G329" s="81" t="s">
        <v>80</v>
      </c>
      <c r="H329" s="4">
        <v>20138455654</v>
      </c>
      <c r="I329" s="4" t="s">
        <v>81</v>
      </c>
      <c r="J329" s="8" t="s">
        <v>381</v>
      </c>
      <c r="K329" s="173">
        <v>1</v>
      </c>
      <c r="L329" s="82">
        <v>5537.19</v>
      </c>
      <c r="M329" s="82">
        <f>+Tabla1[[#This Row],[Neto]]*21%</f>
        <v>1162.8099</v>
      </c>
      <c r="N329" s="82">
        <v>0</v>
      </c>
      <c r="O329" s="82">
        <v>0</v>
      </c>
      <c r="P329" s="82">
        <v>0</v>
      </c>
      <c r="Q329" s="82">
        <v>0</v>
      </c>
      <c r="R329" s="82">
        <v>0</v>
      </c>
      <c r="S329" s="82">
        <v>0</v>
      </c>
      <c r="T329" s="82">
        <v>0</v>
      </c>
      <c r="U329" s="82">
        <f>+SUM(Tabla1[[#This Row],[IVA 21%]:[IVA 27%]])</f>
        <v>1162.8099</v>
      </c>
      <c r="V329" s="10">
        <f>+SUM(Tabla1[[#This Row],[Neto]:[Impuestos Internos / Otros Tributos]])</f>
        <v>6699.9998999999998</v>
      </c>
      <c r="W329" s="10">
        <f>+Tabla1[[#This Row],[Total]]</f>
        <v>6699.9998999999998</v>
      </c>
      <c r="X329" s="82">
        <v>0</v>
      </c>
      <c r="Y329" s="83" t="s">
        <v>324</v>
      </c>
      <c r="Z329" s="83"/>
      <c r="AA329" s="108">
        <v>45580</v>
      </c>
      <c r="AB329" s="82">
        <v>0</v>
      </c>
      <c r="AC329" s="81"/>
      <c r="AD329" s="81"/>
      <c r="AE329" s="81"/>
      <c r="AF329" s="81"/>
      <c r="AG329" s="81"/>
      <c r="AH329" s="84">
        <f>+Tabla1[[#This Row],[Total a Pagar]]</f>
        <v>6699.9998999999998</v>
      </c>
      <c r="AI329" s="81"/>
      <c r="AJ329" s="188"/>
    </row>
    <row r="330" spans="1:36" hidden="1" x14ac:dyDescent="0.3">
      <c r="A330" s="78" t="s">
        <v>337</v>
      </c>
      <c r="B330" s="79">
        <v>45580</v>
      </c>
      <c r="C330" s="12" t="s">
        <v>26</v>
      </c>
      <c r="D330" s="8" t="s">
        <v>58</v>
      </c>
      <c r="E330" s="9" t="s">
        <v>639</v>
      </c>
      <c r="F330" s="9" t="s">
        <v>684</v>
      </c>
      <c r="G330" s="81" t="s">
        <v>202</v>
      </c>
      <c r="H330" s="4">
        <v>33715472649</v>
      </c>
      <c r="I330" s="4" t="s">
        <v>203</v>
      </c>
      <c r="J330" s="8" t="s">
        <v>381</v>
      </c>
      <c r="K330" s="173">
        <v>1</v>
      </c>
      <c r="L330" s="82">
        <v>21090.91</v>
      </c>
      <c r="M330" s="82">
        <f>+Tabla1[[#This Row],[Neto]]*21%</f>
        <v>4429.0910999999996</v>
      </c>
      <c r="N330" s="82">
        <v>0</v>
      </c>
      <c r="O330" s="82">
        <v>0</v>
      </c>
      <c r="P330" s="82">
        <v>0</v>
      </c>
      <c r="Q330" s="82">
        <v>0</v>
      </c>
      <c r="R330" s="82">
        <v>0</v>
      </c>
      <c r="S330" s="82">
        <f>+Tabla1[[#This Row],[Neto]]*3.6%</f>
        <v>759.27276000000006</v>
      </c>
      <c r="T330" s="82">
        <v>0</v>
      </c>
      <c r="U330" s="82">
        <f>+SUM(Tabla1[[#This Row],[IVA 21%]:[IVA 27%]])</f>
        <v>4429.0910999999996</v>
      </c>
      <c r="V330" s="10">
        <f>+SUM(Tabla1[[#This Row],[Neto]:[Impuestos Internos / Otros Tributos]])</f>
        <v>26279.273860000001</v>
      </c>
      <c r="W330" s="10">
        <f>+Tabla1[[#This Row],[Total]]</f>
        <v>26279.273860000001</v>
      </c>
      <c r="X330" s="82">
        <v>0</v>
      </c>
      <c r="Y330" s="83" t="s">
        <v>324</v>
      </c>
      <c r="Z330" s="83"/>
      <c r="AA330" s="108">
        <v>45580</v>
      </c>
      <c r="AB330" s="82">
        <v>0</v>
      </c>
      <c r="AC330" s="81"/>
      <c r="AD330" s="81"/>
      <c r="AE330" s="81"/>
      <c r="AF330" s="81"/>
      <c r="AG330" s="81"/>
      <c r="AH330" s="84">
        <f>+Tabla1[[#This Row],[Total a Pagar]]</f>
        <v>26279.273860000001</v>
      </c>
      <c r="AI330" s="81"/>
      <c r="AJ330" s="188"/>
    </row>
    <row r="331" spans="1:36" hidden="1" x14ac:dyDescent="0.3">
      <c r="A331" s="78" t="s">
        <v>337</v>
      </c>
      <c r="B331" s="79">
        <v>45580</v>
      </c>
      <c r="C331" s="37" t="s">
        <v>434</v>
      </c>
      <c r="D331" s="78" t="s">
        <v>403</v>
      </c>
      <c r="E331" s="85" t="s">
        <v>28</v>
      </c>
      <c r="F331" s="85" t="s">
        <v>562</v>
      </c>
      <c r="G331" s="81" t="s">
        <v>406</v>
      </c>
      <c r="H331" s="81">
        <v>30111111111</v>
      </c>
      <c r="I331" s="81" t="s">
        <v>405</v>
      </c>
      <c r="J331" s="78" t="s">
        <v>381</v>
      </c>
      <c r="K331" s="173">
        <v>1</v>
      </c>
      <c r="L331" s="82">
        <f>9000+6000</f>
        <v>15000</v>
      </c>
      <c r="M331" s="82">
        <v>0</v>
      </c>
      <c r="N331" s="82">
        <v>0</v>
      </c>
      <c r="O331" s="82">
        <v>0</v>
      </c>
      <c r="P331" s="82">
        <v>0</v>
      </c>
      <c r="Q331" s="82">
        <v>0</v>
      </c>
      <c r="R331" s="82">
        <v>0</v>
      </c>
      <c r="S331" s="82">
        <v>0</v>
      </c>
      <c r="T331" s="82">
        <v>0</v>
      </c>
      <c r="U331" s="82">
        <f>+SUM(Tabla1[[#This Row],[IVA 21%]:[IVA 27%]])</f>
        <v>0</v>
      </c>
      <c r="V331" s="10">
        <f>+SUM(Tabla1[[#This Row],[Neto]:[Impuestos Internos / Otros Tributos]])</f>
        <v>15000</v>
      </c>
      <c r="W331" s="10">
        <f>+Tabla1[[#This Row],[Total]]</f>
        <v>15000</v>
      </c>
      <c r="X331" s="82">
        <v>0</v>
      </c>
      <c r="Y331" s="83" t="s">
        <v>324</v>
      </c>
      <c r="Z331" s="83"/>
      <c r="AA331" s="108">
        <v>45580</v>
      </c>
      <c r="AB331" s="82">
        <v>0</v>
      </c>
      <c r="AC331" s="81"/>
      <c r="AD331" s="81"/>
      <c r="AE331" s="81"/>
      <c r="AF331" s="81"/>
      <c r="AG331" s="81"/>
      <c r="AH331" s="84">
        <f>+Tabla1[[#This Row],[Total a Pagar]]</f>
        <v>15000</v>
      </c>
      <c r="AI331" s="81"/>
      <c r="AJ331" s="188"/>
    </row>
    <row r="332" spans="1:36" hidden="1" x14ac:dyDescent="0.3">
      <c r="A332" s="36" t="s">
        <v>337</v>
      </c>
      <c r="B332" s="55">
        <v>45581</v>
      </c>
      <c r="C332" s="37" t="s">
        <v>26</v>
      </c>
      <c r="D332" s="36" t="s">
        <v>27</v>
      </c>
      <c r="E332" s="45" t="s">
        <v>28</v>
      </c>
      <c r="F332" s="45" t="s">
        <v>215</v>
      </c>
      <c r="G332" s="38" t="s">
        <v>521</v>
      </c>
      <c r="H332" s="38">
        <v>20399039569</v>
      </c>
      <c r="I332" s="38" t="s">
        <v>520</v>
      </c>
      <c r="J332" s="36" t="s">
        <v>381</v>
      </c>
      <c r="K332" s="173">
        <v>1</v>
      </c>
      <c r="L332" s="39">
        <v>2118000</v>
      </c>
      <c r="M332" s="39">
        <v>0</v>
      </c>
      <c r="N332" s="39">
        <v>0</v>
      </c>
      <c r="O332" s="39">
        <v>0</v>
      </c>
      <c r="P332" s="39">
        <v>0</v>
      </c>
      <c r="Q332" s="39">
        <v>0</v>
      </c>
      <c r="R332" s="39">
        <v>0</v>
      </c>
      <c r="S332" s="39">
        <v>0</v>
      </c>
      <c r="T332" s="39">
        <v>0</v>
      </c>
      <c r="U332" s="39">
        <f>+SUM(Tabla1[[#This Row],[IVA 21%]:[IVA 27%]])</f>
        <v>0</v>
      </c>
      <c r="V332" s="10">
        <f>+SUM(Tabla1[[#This Row],[Neto]:[Impuestos Internos / Otros Tributos]])</f>
        <v>2118000</v>
      </c>
      <c r="W332" s="39">
        <f>+Tabla1[[#This Row],[Total]]</f>
        <v>2118000</v>
      </c>
      <c r="X332" s="39">
        <v>0</v>
      </c>
      <c r="Y332" s="51" t="s">
        <v>324</v>
      </c>
      <c r="Z332" s="51"/>
      <c r="AA332" s="107">
        <v>45581</v>
      </c>
      <c r="AB332" s="50">
        <f>+Tabla1[[#This Row],[Total a Pagar]]</f>
        <v>2118000</v>
      </c>
      <c r="AC332" s="38"/>
      <c r="AD332" s="38"/>
      <c r="AE332" s="38"/>
      <c r="AF332" s="38"/>
      <c r="AG332" s="38"/>
      <c r="AH332" s="39">
        <v>0</v>
      </c>
      <c r="AI332" s="38"/>
      <c r="AJ332" s="188"/>
    </row>
    <row r="333" spans="1:36" hidden="1" x14ac:dyDescent="0.3">
      <c r="A333" s="36" t="s">
        <v>337</v>
      </c>
      <c r="B333" s="55">
        <v>45581</v>
      </c>
      <c r="C333" s="37" t="s">
        <v>26</v>
      </c>
      <c r="D333" s="36" t="s">
        <v>27</v>
      </c>
      <c r="E333" s="45" t="s">
        <v>28</v>
      </c>
      <c r="F333" s="45" t="s">
        <v>529</v>
      </c>
      <c r="G333" s="38" t="s">
        <v>530</v>
      </c>
      <c r="H333" s="38">
        <v>27954100699</v>
      </c>
      <c r="I333" s="38" t="s">
        <v>523</v>
      </c>
      <c r="J333" s="36" t="s">
        <v>381</v>
      </c>
      <c r="K333" s="173">
        <v>1</v>
      </c>
      <c r="L333" s="39">
        <v>390000</v>
      </c>
      <c r="M333" s="39">
        <v>0</v>
      </c>
      <c r="N333" s="39">
        <v>0</v>
      </c>
      <c r="O333" s="39">
        <v>0</v>
      </c>
      <c r="P333" s="39">
        <v>0</v>
      </c>
      <c r="Q333" s="39">
        <v>0</v>
      </c>
      <c r="R333" s="39">
        <v>0</v>
      </c>
      <c r="S333" s="39">
        <v>0</v>
      </c>
      <c r="T333" s="39">
        <v>0</v>
      </c>
      <c r="U333" s="39">
        <f>+SUM(Tabla1[[#This Row],[IVA 21%]:[IVA 27%]])</f>
        <v>0</v>
      </c>
      <c r="V333" s="10">
        <f>+SUM(Tabla1[[#This Row],[Neto]:[Impuestos Internos / Otros Tributos]])</f>
        <v>390000</v>
      </c>
      <c r="W333" s="39">
        <f>+Tabla1[[#This Row],[Total]]</f>
        <v>390000</v>
      </c>
      <c r="X333" s="39">
        <v>0</v>
      </c>
      <c r="Y333" s="51" t="s">
        <v>324</v>
      </c>
      <c r="Z333" s="51"/>
      <c r="AA333" s="107">
        <v>45581</v>
      </c>
      <c r="AB333" s="50">
        <f>+Tabla1[[#This Row],[Total a Pagar]]</f>
        <v>390000</v>
      </c>
      <c r="AC333" s="38"/>
      <c r="AD333" s="38"/>
      <c r="AE333" s="38"/>
      <c r="AF333" s="38"/>
      <c r="AG333" s="38"/>
      <c r="AH333" s="39">
        <v>0</v>
      </c>
      <c r="AI333" s="38"/>
      <c r="AJ333" s="188"/>
    </row>
    <row r="334" spans="1:36" hidden="1" x14ac:dyDescent="0.3">
      <c r="A334" s="36" t="s">
        <v>337</v>
      </c>
      <c r="B334" s="55">
        <v>45581</v>
      </c>
      <c r="C334" s="37" t="s">
        <v>26</v>
      </c>
      <c r="D334" s="36" t="s">
        <v>27</v>
      </c>
      <c r="E334" s="45" t="s">
        <v>37</v>
      </c>
      <c r="F334" s="45" t="s">
        <v>157</v>
      </c>
      <c r="G334" s="38" t="s">
        <v>181</v>
      </c>
      <c r="H334" s="38">
        <v>20952983106</v>
      </c>
      <c r="I334" s="38" t="s">
        <v>517</v>
      </c>
      <c r="J334" s="36" t="s">
        <v>381</v>
      </c>
      <c r="K334" s="173">
        <v>1</v>
      </c>
      <c r="L334" s="39">
        <v>207600</v>
      </c>
      <c r="M334" s="39">
        <v>0</v>
      </c>
      <c r="N334" s="39">
        <v>0</v>
      </c>
      <c r="O334" s="39">
        <v>0</v>
      </c>
      <c r="P334" s="39">
        <v>0</v>
      </c>
      <c r="Q334" s="39">
        <v>0</v>
      </c>
      <c r="R334" s="39">
        <v>0</v>
      </c>
      <c r="S334" s="39">
        <v>0</v>
      </c>
      <c r="T334" s="39">
        <v>0</v>
      </c>
      <c r="U334" s="39">
        <f>+SUM(Tabla1[[#This Row],[IVA 21%]:[IVA 27%]])</f>
        <v>0</v>
      </c>
      <c r="V334" s="10">
        <f>+SUM(Tabla1[[#This Row],[Neto]:[Impuestos Internos / Otros Tributos]])</f>
        <v>207600</v>
      </c>
      <c r="W334" s="39">
        <f>+Tabla1[[#This Row],[Total]]</f>
        <v>207600</v>
      </c>
      <c r="X334" s="39">
        <v>0</v>
      </c>
      <c r="Y334" s="51" t="s">
        <v>324</v>
      </c>
      <c r="Z334" s="51"/>
      <c r="AA334" s="107">
        <v>45581</v>
      </c>
      <c r="AB334" s="50">
        <f>+Tabla1[[#This Row],[Total a Pagar]]</f>
        <v>207600</v>
      </c>
      <c r="AC334" s="38"/>
      <c r="AD334" s="38"/>
      <c r="AE334" s="38"/>
      <c r="AF334" s="38"/>
      <c r="AG334" s="38"/>
      <c r="AH334" s="39">
        <v>0</v>
      </c>
      <c r="AI334" s="38"/>
      <c r="AJ334" s="188"/>
    </row>
    <row r="335" spans="1:36" hidden="1" x14ac:dyDescent="0.3">
      <c r="A335" s="36" t="s">
        <v>337</v>
      </c>
      <c r="B335" s="55">
        <v>45581</v>
      </c>
      <c r="C335" s="37" t="s">
        <v>26</v>
      </c>
      <c r="D335" s="36" t="s">
        <v>27</v>
      </c>
      <c r="E335" s="45" t="s">
        <v>28</v>
      </c>
      <c r="F335" s="45" t="s">
        <v>534</v>
      </c>
      <c r="G335" s="38" t="s">
        <v>160</v>
      </c>
      <c r="H335" s="38">
        <v>20404673867</v>
      </c>
      <c r="I335" s="38" t="s">
        <v>171</v>
      </c>
      <c r="J335" s="36" t="s">
        <v>381</v>
      </c>
      <c r="K335" s="173">
        <v>1</v>
      </c>
      <c r="L335" s="39">
        <v>195600</v>
      </c>
      <c r="M335" s="39">
        <v>0</v>
      </c>
      <c r="N335" s="39">
        <v>0</v>
      </c>
      <c r="O335" s="39">
        <v>0</v>
      </c>
      <c r="P335" s="39">
        <v>0</v>
      </c>
      <c r="Q335" s="39">
        <v>0</v>
      </c>
      <c r="R335" s="39">
        <v>0</v>
      </c>
      <c r="S335" s="39">
        <v>0</v>
      </c>
      <c r="T335" s="39">
        <v>0</v>
      </c>
      <c r="U335" s="39">
        <f>+SUM(Tabla1[[#This Row],[IVA 21%]:[IVA 27%]])</f>
        <v>0</v>
      </c>
      <c r="V335" s="10">
        <f>+SUM(Tabla1[[#This Row],[Neto]:[Impuestos Internos / Otros Tributos]])</f>
        <v>195600</v>
      </c>
      <c r="W335" s="39">
        <f>+Tabla1[[#This Row],[Total]]</f>
        <v>195600</v>
      </c>
      <c r="X335" s="39">
        <v>0</v>
      </c>
      <c r="Y335" s="49" t="s">
        <v>324</v>
      </c>
      <c r="AA335" s="107">
        <v>45582</v>
      </c>
      <c r="AB335" s="50">
        <f>+Tabla1[[#This Row],[Total a Pagar]]</f>
        <v>195600</v>
      </c>
      <c r="AC335" s="38"/>
      <c r="AD335" s="38"/>
      <c r="AE335" s="38"/>
      <c r="AF335" s="38"/>
      <c r="AG335" s="38"/>
      <c r="AH335" s="39">
        <v>0</v>
      </c>
      <c r="AI335" s="38"/>
      <c r="AJ335" s="188"/>
    </row>
    <row r="336" spans="1:36" hidden="1" x14ac:dyDescent="0.3">
      <c r="A336" s="59" t="s">
        <v>337</v>
      </c>
      <c r="B336" s="60">
        <v>45581</v>
      </c>
      <c r="C336" s="61" t="s">
        <v>26</v>
      </c>
      <c r="D336" s="59" t="s">
        <v>27</v>
      </c>
      <c r="E336" s="62" t="s">
        <v>28</v>
      </c>
      <c r="F336" s="62" t="s">
        <v>29</v>
      </c>
      <c r="G336" s="63" t="s">
        <v>249</v>
      </c>
      <c r="H336" s="63">
        <v>27414097087</v>
      </c>
      <c r="I336" s="63" t="s">
        <v>545</v>
      </c>
      <c r="J336" s="59" t="s">
        <v>381</v>
      </c>
      <c r="K336" s="173">
        <v>1</v>
      </c>
      <c r="L336" s="64">
        <v>48000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f>+SUM(Tabla1[[#This Row],[IVA 21%]:[IVA 27%]])</f>
        <v>0</v>
      </c>
      <c r="V336" s="10">
        <f>+SUM(Tabla1[[#This Row],[Neto]:[Impuestos Internos / Otros Tributos]])</f>
        <v>48000</v>
      </c>
      <c r="W336" s="64">
        <f>+Tabla1[[#This Row],[Total]]</f>
        <v>48000</v>
      </c>
      <c r="X336" s="64">
        <v>0</v>
      </c>
      <c r="Y336" s="10" t="s">
        <v>324</v>
      </c>
      <c r="Z336" s="10"/>
      <c r="AA336" s="115">
        <v>45582</v>
      </c>
      <c r="AB336" s="32">
        <f>+Tabla1[[#This Row],[Total a Pagar]]</f>
        <v>48000</v>
      </c>
      <c r="AC336" s="63"/>
      <c r="AD336" s="63"/>
      <c r="AE336" s="63"/>
      <c r="AF336" s="63"/>
      <c r="AG336" s="63"/>
      <c r="AH336" s="64">
        <v>0</v>
      </c>
      <c r="AI336" s="63"/>
      <c r="AJ336" s="188"/>
    </row>
    <row r="337" spans="1:36" hidden="1" x14ac:dyDescent="0.3">
      <c r="A337" s="59" t="s">
        <v>337</v>
      </c>
      <c r="B337" s="60">
        <v>45581</v>
      </c>
      <c r="C337" s="61" t="s">
        <v>26</v>
      </c>
      <c r="D337" s="59" t="s">
        <v>27</v>
      </c>
      <c r="E337" s="62" t="s">
        <v>37</v>
      </c>
      <c r="F337" s="62" t="s">
        <v>550</v>
      </c>
      <c r="G337" s="4" t="s">
        <v>897</v>
      </c>
      <c r="H337" s="63">
        <v>27330903908</v>
      </c>
      <c r="I337" s="4" t="s">
        <v>545</v>
      </c>
      <c r="J337" s="59" t="s">
        <v>381</v>
      </c>
      <c r="K337" s="173">
        <v>1</v>
      </c>
      <c r="L337" s="64">
        <v>410400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f>+SUM(Tabla1[[#This Row],[IVA 21%]:[IVA 27%]])</f>
        <v>0</v>
      </c>
      <c r="V337" s="10">
        <f>+SUM(Tabla1[[#This Row],[Neto]:[Impuestos Internos / Otros Tributos]])</f>
        <v>410400</v>
      </c>
      <c r="W337" s="64">
        <f>+Tabla1[[#This Row],[Total]]</f>
        <v>410400</v>
      </c>
      <c r="X337" s="64">
        <v>0</v>
      </c>
      <c r="Y337" s="10" t="s">
        <v>324</v>
      </c>
      <c r="Z337" s="10"/>
      <c r="AA337" s="115">
        <v>45582</v>
      </c>
      <c r="AB337" s="65">
        <f>+Tabla1[[#This Row],[Total a Pagar]]</f>
        <v>410400</v>
      </c>
      <c r="AC337" s="63"/>
      <c r="AD337" s="63"/>
      <c r="AE337" s="63"/>
      <c r="AF337" s="63"/>
      <c r="AG337" s="63"/>
      <c r="AH337" s="64">
        <v>0</v>
      </c>
      <c r="AI337" s="63"/>
      <c r="AJ337" s="188"/>
    </row>
    <row r="338" spans="1:36" hidden="1" x14ac:dyDescent="0.3">
      <c r="A338" s="67" t="s">
        <v>337</v>
      </c>
      <c r="B338" s="68">
        <v>45581</v>
      </c>
      <c r="C338" s="69" t="s">
        <v>26</v>
      </c>
      <c r="D338" s="67" t="s">
        <v>27</v>
      </c>
      <c r="E338" s="70" t="s">
        <v>37</v>
      </c>
      <c r="F338" s="70" t="s">
        <v>407</v>
      </c>
      <c r="G338" s="71" t="s">
        <v>42</v>
      </c>
      <c r="H338" s="71">
        <v>23332501879</v>
      </c>
      <c r="I338" s="71" t="s">
        <v>561</v>
      </c>
      <c r="J338" s="67" t="s">
        <v>381</v>
      </c>
      <c r="K338" s="173">
        <v>1</v>
      </c>
      <c r="L338" s="72">
        <v>448800</v>
      </c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0</v>
      </c>
      <c r="U338" s="72">
        <f>+SUM(Tabla1[[#This Row],[IVA 21%]:[IVA 27%]])</f>
        <v>0</v>
      </c>
      <c r="V338" s="10">
        <f>+SUM(Tabla1[[#This Row],[Neto]:[Impuestos Internos / Otros Tributos]])</f>
        <v>448800</v>
      </c>
      <c r="W338" s="72">
        <f>+Tabla1[[#This Row],[Total]]</f>
        <v>448800</v>
      </c>
      <c r="X338" s="72">
        <v>0</v>
      </c>
      <c r="Y338" s="73" t="s">
        <v>324</v>
      </c>
      <c r="Z338" s="73"/>
      <c r="AA338" s="114">
        <v>45582</v>
      </c>
      <c r="AB338" s="32">
        <f>+Tabla1[[#This Row],[Total a Pagar]]</f>
        <v>448800</v>
      </c>
      <c r="AC338" s="71"/>
      <c r="AD338" s="71"/>
      <c r="AE338" s="71"/>
      <c r="AF338" s="71"/>
      <c r="AG338" s="71"/>
      <c r="AH338" s="72">
        <v>0</v>
      </c>
      <c r="AI338" s="71"/>
      <c r="AJ338" s="188"/>
    </row>
    <row r="339" spans="1:36" hidden="1" x14ac:dyDescent="0.3">
      <c r="A339" s="67" t="s">
        <v>337</v>
      </c>
      <c r="B339" s="68">
        <v>45581</v>
      </c>
      <c r="C339" s="69" t="s">
        <v>26</v>
      </c>
      <c r="D339" s="67" t="s">
        <v>27</v>
      </c>
      <c r="E339" s="70" t="s">
        <v>32</v>
      </c>
      <c r="F339" s="70" t="s">
        <v>562</v>
      </c>
      <c r="G339" s="71" t="s">
        <v>46</v>
      </c>
      <c r="H339" s="71">
        <v>27386520599</v>
      </c>
      <c r="I339" s="71" t="s">
        <v>561</v>
      </c>
      <c r="J339" s="67" t="s">
        <v>381</v>
      </c>
      <c r="K339" s="173">
        <v>1</v>
      </c>
      <c r="L339" s="72">
        <v>487200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0</v>
      </c>
      <c r="U339" s="72">
        <f>+SUM(Tabla1[[#This Row],[IVA 21%]:[IVA 27%]])</f>
        <v>0</v>
      </c>
      <c r="V339" s="10">
        <f>+SUM(Tabla1[[#This Row],[Neto]:[Impuestos Internos / Otros Tributos]])</f>
        <v>487200</v>
      </c>
      <c r="W339" s="72">
        <f>+Tabla1[[#This Row],[Total]]</f>
        <v>487200</v>
      </c>
      <c r="X339" s="72">
        <v>0</v>
      </c>
      <c r="Y339" s="73" t="s">
        <v>324</v>
      </c>
      <c r="Z339" s="73"/>
      <c r="AA339" s="114">
        <v>45582</v>
      </c>
      <c r="AB339" s="74">
        <f>+Tabla1[[#This Row],[Total a Pagar]]</f>
        <v>487200</v>
      </c>
      <c r="AC339" s="71"/>
      <c r="AD339" s="71"/>
      <c r="AE339" s="71"/>
      <c r="AF339" s="71"/>
      <c r="AG339" s="71"/>
      <c r="AH339" s="72">
        <v>0</v>
      </c>
      <c r="AI339" s="71"/>
      <c r="AJ339" s="188"/>
    </row>
    <row r="340" spans="1:36" hidden="1" x14ac:dyDescent="0.3">
      <c r="A340" s="67" t="s">
        <v>337</v>
      </c>
      <c r="B340" s="68">
        <v>45581</v>
      </c>
      <c r="C340" s="69" t="s">
        <v>26</v>
      </c>
      <c r="D340" s="67" t="s">
        <v>27</v>
      </c>
      <c r="E340" s="70" t="s">
        <v>37</v>
      </c>
      <c r="F340" s="70" t="s">
        <v>29</v>
      </c>
      <c r="G340" s="71" t="s">
        <v>48</v>
      </c>
      <c r="H340" s="71">
        <v>27235843604</v>
      </c>
      <c r="I340" s="71" t="s">
        <v>563</v>
      </c>
      <c r="J340" s="67" t="s">
        <v>381</v>
      </c>
      <c r="K340" s="173">
        <v>1</v>
      </c>
      <c r="L340" s="72">
        <v>441600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f>+SUM(Tabla1[[#This Row],[IVA 21%]:[IVA 27%]])</f>
        <v>0</v>
      </c>
      <c r="V340" s="10">
        <f>+SUM(Tabla1[[#This Row],[Neto]:[Impuestos Internos / Otros Tributos]])</f>
        <v>441600</v>
      </c>
      <c r="W340" s="72">
        <f>+Tabla1[[#This Row],[Total]]</f>
        <v>441600</v>
      </c>
      <c r="X340" s="72">
        <v>0</v>
      </c>
      <c r="Y340" s="73" t="s">
        <v>324</v>
      </c>
      <c r="Z340" s="73"/>
      <c r="AA340" s="114">
        <v>45582</v>
      </c>
      <c r="AB340" s="74">
        <f>+Tabla1[[#This Row],[Total a Pagar]]</f>
        <v>441600</v>
      </c>
      <c r="AC340" s="71"/>
      <c r="AD340" s="71"/>
      <c r="AE340" s="71"/>
      <c r="AF340" s="71"/>
      <c r="AG340" s="71"/>
      <c r="AH340" s="72">
        <v>0</v>
      </c>
      <c r="AI340" s="71"/>
      <c r="AJ340" s="188"/>
    </row>
    <row r="341" spans="1:36" hidden="1" x14ac:dyDescent="0.3">
      <c r="A341" s="67" t="s">
        <v>337</v>
      </c>
      <c r="B341" s="68">
        <v>45581</v>
      </c>
      <c r="C341" s="69" t="s">
        <v>26</v>
      </c>
      <c r="D341" s="67" t="s">
        <v>27</v>
      </c>
      <c r="E341" s="70" t="s">
        <v>28</v>
      </c>
      <c r="F341" s="70" t="s">
        <v>172</v>
      </c>
      <c r="G341" s="71" t="s">
        <v>56</v>
      </c>
      <c r="H341" s="71">
        <v>20288248398</v>
      </c>
      <c r="I341" s="71" t="s">
        <v>564</v>
      </c>
      <c r="J341" s="67" t="s">
        <v>381</v>
      </c>
      <c r="K341" s="173">
        <v>1</v>
      </c>
      <c r="L341" s="72">
        <v>35200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</v>
      </c>
      <c r="U341" s="72">
        <f>+SUM(Tabla1[[#This Row],[IVA 21%]:[IVA 27%]])</f>
        <v>0</v>
      </c>
      <c r="V341" s="10">
        <f>+SUM(Tabla1[[#This Row],[Neto]:[Impuestos Internos / Otros Tributos]])</f>
        <v>35200</v>
      </c>
      <c r="W341" s="10">
        <f>+Tabla1[[#This Row],[Total]]</f>
        <v>35200</v>
      </c>
      <c r="X341" s="72">
        <v>0</v>
      </c>
      <c r="Y341" s="10" t="s">
        <v>324</v>
      </c>
      <c r="Z341" s="10"/>
      <c r="AA341" s="114">
        <v>45582</v>
      </c>
      <c r="AB341" s="72">
        <v>0</v>
      </c>
      <c r="AC341" s="71"/>
      <c r="AD341" s="71"/>
      <c r="AE341" s="71"/>
      <c r="AF341" s="71"/>
      <c r="AG341" s="71"/>
      <c r="AH341" s="72">
        <v>0</v>
      </c>
      <c r="AI341" s="71"/>
      <c r="AJ341" s="188"/>
    </row>
    <row r="342" spans="1:36" hidden="1" x14ac:dyDescent="0.3">
      <c r="A342" s="67" t="s">
        <v>337</v>
      </c>
      <c r="B342" s="68">
        <v>45581</v>
      </c>
      <c r="C342" s="69" t="s">
        <v>454</v>
      </c>
      <c r="D342" s="67" t="s">
        <v>27</v>
      </c>
      <c r="E342" s="70" t="s">
        <v>28</v>
      </c>
      <c r="F342" s="70" t="s">
        <v>157</v>
      </c>
      <c r="G342" s="71" t="s">
        <v>56</v>
      </c>
      <c r="H342" s="71">
        <v>20288248398</v>
      </c>
      <c r="I342" s="71" t="s">
        <v>565</v>
      </c>
      <c r="J342" s="67" t="s">
        <v>381</v>
      </c>
      <c r="K342" s="173">
        <v>1</v>
      </c>
      <c r="L342" s="72">
        <v>-45600</v>
      </c>
      <c r="M342" s="72">
        <v>0</v>
      </c>
      <c r="N342" s="72">
        <v>0</v>
      </c>
      <c r="O342" s="72">
        <v>0</v>
      </c>
      <c r="P342" s="72">
        <v>0</v>
      </c>
      <c r="Q342" s="72">
        <v>0</v>
      </c>
      <c r="R342" s="72">
        <v>0</v>
      </c>
      <c r="S342" s="72">
        <v>0</v>
      </c>
      <c r="T342" s="72">
        <v>0</v>
      </c>
      <c r="U342" s="72">
        <f>+SUM(Tabla1[[#This Row],[IVA 21%]:[IVA 27%]])</f>
        <v>0</v>
      </c>
      <c r="V342" s="10">
        <f>+SUM(Tabla1[[#This Row],[Neto]:[Impuestos Internos / Otros Tributos]])</f>
        <v>-45600</v>
      </c>
      <c r="W342" s="10">
        <f>+Tabla1[[#This Row],[Total]]</f>
        <v>-45600</v>
      </c>
      <c r="X342" s="72">
        <v>0</v>
      </c>
      <c r="Y342" s="10" t="s">
        <v>324</v>
      </c>
      <c r="Z342" s="10"/>
      <c r="AA342" s="114">
        <v>45582</v>
      </c>
      <c r="AB342" s="74">
        <f>-Tabla1[[#This Row],[Total]]</f>
        <v>45600</v>
      </c>
      <c r="AC342" s="71"/>
      <c r="AD342" s="71"/>
      <c r="AE342" s="71"/>
      <c r="AF342" s="71"/>
      <c r="AG342" s="71"/>
      <c r="AH342" s="72">
        <v>0</v>
      </c>
      <c r="AI342" s="71"/>
      <c r="AJ342" s="188"/>
    </row>
    <row r="343" spans="1:36" hidden="1" x14ac:dyDescent="0.3">
      <c r="A343" s="67" t="s">
        <v>337</v>
      </c>
      <c r="B343" s="68">
        <v>45581</v>
      </c>
      <c r="C343" s="69" t="s">
        <v>26</v>
      </c>
      <c r="D343" s="67" t="s">
        <v>27</v>
      </c>
      <c r="E343" s="70" t="s">
        <v>28</v>
      </c>
      <c r="F343" s="70" t="s">
        <v>33</v>
      </c>
      <c r="G343" s="71" t="s">
        <v>241</v>
      </c>
      <c r="H343" s="71">
        <v>27357831267</v>
      </c>
      <c r="I343" s="71" t="s">
        <v>545</v>
      </c>
      <c r="J343" s="67" t="s">
        <v>381</v>
      </c>
      <c r="K343" s="173">
        <v>1</v>
      </c>
      <c r="L343" s="72">
        <v>120000</v>
      </c>
      <c r="M343" s="72">
        <v>0</v>
      </c>
      <c r="N343" s="72">
        <v>0</v>
      </c>
      <c r="O343" s="72">
        <v>0</v>
      </c>
      <c r="P343" s="72">
        <v>0</v>
      </c>
      <c r="Q343" s="72">
        <v>0</v>
      </c>
      <c r="R343" s="72">
        <v>0</v>
      </c>
      <c r="S343" s="72">
        <v>0</v>
      </c>
      <c r="T343" s="72">
        <v>0</v>
      </c>
      <c r="U343" s="72">
        <f>+SUM(Tabla1[[#This Row],[IVA 21%]:[IVA 27%]])</f>
        <v>0</v>
      </c>
      <c r="V343" s="10">
        <f>+SUM(Tabla1[[#This Row],[Neto]:[Impuestos Internos / Otros Tributos]])</f>
        <v>120000</v>
      </c>
      <c r="W343" s="72">
        <f>+Tabla1[[#This Row],[Total]]</f>
        <v>120000</v>
      </c>
      <c r="X343" s="72">
        <v>0</v>
      </c>
      <c r="Y343" s="10" t="s">
        <v>324</v>
      </c>
      <c r="Z343" s="10"/>
      <c r="AA343" s="114">
        <v>45582</v>
      </c>
      <c r="AB343" s="74">
        <f>+Tabla1[[#This Row],[Total a Pagar]]</f>
        <v>120000</v>
      </c>
      <c r="AC343" s="71"/>
      <c r="AD343" s="71"/>
      <c r="AE343" s="71"/>
      <c r="AF343" s="71"/>
      <c r="AG343" s="71"/>
      <c r="AH343" s="72">
        <v>0</v>
      </c>
      <c r="AI343" s="71"/>
      <c r="AJ343" s="188"/>
    </row>
    <row r="344" spans="1:36" hidden="1" x14ac:dyDescent="0.3">
      <c r="A344" s="67" t="s">
        <v>337</v>
      </c>
      <c r="B344" s="68">
        <v>45581</v>
      </c>
      <c r="C344" s="69" t="s">
        <v>26</v>
      </c>
      <c r="D344" s="67" t="s">
        <v>27</v>
      </c>
      <c r="E344" s="70" t="s">
        <v>37</v>
      </c>
      <c r="F344" s="70" t="s">
        <v>528</v>
      </c>
      <c r="G344" s="71" t="s">
        <v>248</v>
      </c>
      <c r="H344" s="71">
        <v>27382124184</v>
      </c>
      <c r="I344" s="71" t="s">
        <v>561</v>
      </c>
      <c r="J344" s="67" t="s">
        <v>381</v>
      </c>
      <c r="K344" s="173">
        <v>1</v>
      </c>
      <c r="L344" s="72">
        <v>384000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f>+SUM(Tabla1[[#This Row],[IVA 21%]:[IVA 27%]])</f>
        <v>0</v>
      </c>
      <c r="V344" s="10">
        <f>+SUM(Tabla1[[#This Row],[Neto]:[Impuestos Internos / Otros Tributos]])</f>
        <v>384000</v>
      </c>
      <c r="W344" s="72">
        <f>+Tabla1[[#This Row],[Total]]</f>
        <v>384000</v>
      </c>
      <c r="X344" s="72">
        <v>0</v>
      </c>
      <c r="Y344" s="73" t="s">
        <v>324</v>
      </c>
      <c r="Z344" s="73"/>
      <c r="AA344" s="114">
        <v>45582</v>
      </c>
      <c r="AB344" s="74">
        <f>+Tabla1[[#This Row],[Total a Pagar]]</f>
        <v>384000</v>
      </c>
      <c r="AC344" s="71"/>
      <c r="AD344" s="71"/>
      <c r="AE344" s="71"/>
      <c r="AF344" s="71"/>
      <c r="AG344" s="71"/>
      <c r="AH344" s="72">
        <v>0</v>
      </c>
      <c r="AI344" s="71"/>
      <c r="AJ344" s="188"/>
    </row>
    <row r="345" spans="1:36" hidden="1" x14ac:dyDescent="0.3">
      <c r="A345" s="67" t="s">
        <v>337</v>
      </c>
      <c r="B345" s="68">
        <v>45581</v>
      </c>
      <c r="C345" s="69" t="s">
        <v>26</v>
      </c>
      <c r="D345" s="67" t="s">
        <v>27</v>
      </c>
      <c r="E345" s="70" t="s">
        <v>37</v>
      </c>
      <c r="F345" s="70" t="s">
        <v>180</v>
      </c>
      <c r="G345" s="71" t="s">
        <v>39</v>
      </c>
      <c r="H345" s="71">
        <v>27335929271</v>
      </c>
      <c r="I345" s="71" t="s">
        <v>561</v>
      </c>
      <c r="J345" s="67" t="s">
        <v>381</v>
      </c>
      <c r="K345" s="173">
        <v>1</v>
      </c>
      <c r="L345" s="72">
        <v>475200</v>
      </c>
      <c r="M345" s="72">
        <v>0</v>
      </c>
      <c r="N345" s="72">
        <v>0</v>
      </c>
      <c r="O345" s="72">
        <v>0</v>
      </c>
      <c r="P345" s="72">
        <v>0</v>
      </c>
      <c r="Q345" s="72">
        <v>0</v>
      </c>
      <c r="R345" s="72">
        <v>0</v>
      </c>
      <c r="S345" s="72">
        <v>0</v>
      </c>
      <c r="T345" s="72">
        <v>0</v>
      </c>
      <c r="U345" s="72">
        <f>+SUM(Tabla1[[#This Row],[IVA 21%]:[IVA 27%]])</f>
        <v>0</v>
      </c>
      <c r="V345" s="10">
        <f>+SUM(Tabla1[[#This Row],[Neto]:[Impuestos Internos / Otros Tributos]])</f>
        <v>475200</v>
      </c>
      <c r="W345" s="72">
        <f>+Tabla1[[#This Row],[Total]]</f>
        <v>475200</v>
      </c>
      <c r="X345" s="72">
        <v>0</v>
      </c>
      <c r="Y345" s="73" t="s">
        <v>324</v>
      </c>
      <c r="Z345" s="73"/>
      <c r="AA345" s="114">
        <v>45582</v>
      </c>
      <c r="AB345" s="74">
        <f>+Tabla1[[#This Row],[Total a Pagar]]</f>
        <v>475200</v>
      </c>
      <c r="AC345" s="71"/>
      <c r="AD345" s="71"/>
      <c r="AE345" s="71"/>
      <c r="AF345" s="71"/>
      <c r="AG345" s="71"/>
      <c r="AH345" s="72">
        <v>0</v>
      </c>
      <c r="AI345" s="71"/>
      <c r="AJ345" s="188"/>
    </row>
    <row r="346" spans="1:36" hidden="1" x14ac:dyDescent="0.3">
      <c r="A346" s="67" t="s">
        <v>337</v>
      </c>
      <c r="B346" s="68">
        <v>45581</v>
      </c>
      <c r="C346" s="69" t="s">
        <v>26</v>
      </c>
      <c r="D346" s="67" t="s">
        <v>27</v>
      </c>
      <c r="E346" s="70" t="s">
        <v>28</v>
      </c>
      <c r="F346" s="70" t="s">
        <v>568</v>
      </c>
      <c r="G346" s="71" t="s">
        <v>44</v>
      </c>
      <c r="H346" s="71">
        <v>27346203647</v>
      </c>
      <c r="I346" s="71" t="s">
        <v>576</v>
      </c>
      <c r="J346" s="67" t="s">
        <v>381</v>
      </c>
      <c r="K346" s="173">
        <v>1</v>
      </c>
      <c r="L346" s="72">
        <v>409600</v>
      </c>
      <c r="M346" s="72">
        <v>0</v>
      </c>
      <c r="N346" s="72">
        <v>0</v>
      </c>
      <c r="O346" s="72">
        <v>0</v>
      </c>
      <c r="P346" s="72">
        <v>0</v>
      </c>
      <c r="Q346" s="72">
        <v>0</v>
      </c>
      <c r="R346" s="72">
        <v>0</v>
      </c>
      <c r="S346" s="72">
        <v>0</v>
      </c>
      <c r="T346" s="72">
        <v>0</v>
      </c>
      <c r="U346" s="72">
        <f>+SUM(Tabla1[[#This Row],[IVA 21%]:[IVA 27%]])</f>
        <v>0</v>
      </c>
      <c r="V346" s="10">
        <f>+SUM(Tabla1[[#This Row],[Neto]:[Impuestos Internos / Otros Tributos]])</f>
        <v>409600</v>
      </c>
      <c r="W346" s="72">
        <f>+Tabla1[[#This Row],[Total]]</f>
        <v>409600</v>
      </c>
      <c r="X346" s="72">
        <v>0</v>
      </c>
      <c r="Y346" s="10" t="s">
        <v>324</v>
      </c>
      <c r="Z346" s="10"/>
      <c r="AA346" s="114">
        <v>45583</v>
      </c>
      <c r="AB346" s="72">
        <v>0</v>
      </c>
      <c r="AC346" s="71"/>
      <c r="AD346" s="71"/>
      <c r="AE346" s="71"/>
      <c r="AF346" s="71"/>
      <c r="AG346" s="71"/>
      <c r="AH346" s="72">
        <v>0</v>
      </c>
      <c r="AI346" s="71"/>
      <c r="AJ346" s="188"/>
    </row>
    <row r="347" spans="1:36" hidden="1" x14ac:dyDescent="0.3">
      <c r="A347" s="67" t="s">
        <v>337</v>
      </c>
      <c r="B347" s="68">
        <v>45581</v>
      </c>
      <c r="C347" s="69" t="s">
        <v>454</v>
      </c>
      <c r="D347" s="67" t="s">
        <v>27</v>
      </c>
      <c r="E347" s="70" t="s">
        <v>28</v>
      </c>
      <c r="F347" s="70" t="s">
        <v>215</v>
      </c>
      <c r="G347" s="71" t="s">
        <v>44</v>
      </c>
      <c r="H347" s="71">
        <v>27346203647</v>
      </c>
      <c r="I347" s="71" t="s">
        <v>578</v>
      </c>
      <c r="J347" s="67" t="s">
        <v>381</v>
      </c>
      <c r="K347" s="173">
        <v>1</v>
      </c>
      <c r="L347" s="72">
        <v>-528000</v>
      </c>
      <c r="M347" s="72">
        <v>0</v>
      </c>
      <c r="N347" s="72">
        <v>0</v>
      </c>
      <c r="O347" s="72">
        <v>0</v>
      </c>
      <c r="P347" s="72">
        <v>0</v>
      </c>
      <c r="Q347" s="72">
        <v>0</v>
      </c>
      <c r="R347" s="72">
        <v>0</v>
      </c>
      <c r="S347" s="72">
        <v>0</v>
      </c>
      <c r="T347" s="72">
        <v>0</v>
      </c>
      <c r="U347" s="72">
        <f>+SUM(Tabla1[[#This Row],[IVA 21%]:[IVA 27%]])</f>
        <v>0</v>
      </c>
      <c r="V347" s="10">
        <f>+SUM(Tabla1[[#This Row],[Neto]:[Impuestos Internos / Otros Tributos]])</f>
        <v>-528000</v>
      </c>
      <c r="W347" s="72">
        <f>+Tabla1[[#This Row],[Total]]</f>
        <v>-528000</v>
      </c>
      <c r="X347" s="72">
        <v>0</v>
      </c>
      <c r="Y347" s="10" t="s">
        <v>324</v>
      </c>
      <c r="Z347" s="10"/>
      <c r="AA347" s="114">
        <v>45583</v>
      </c>
      <c r="AB347" s="74">
        <f>-Tabla1[[#This Row],[Total a Pagar]]</f>
        <v>528000</v>
      </c>
      <c r="AC347" s="71"/>
      <c r="AD347" s="71"/>
      <c r="AE347" s="71"/>
      <c r="AF347" s="71"/>
      <c r="AG347" s="71"/>
      <c r="AH347" s="72">
        <v>0</v>
      </c>
      <c r="AI347" s="71"/>
      <c r="AJ347" s="188"/>
    </row>
    <row r="348" spans="1:36" hidden="1" x14ac:dyDescent="0.3">
      <c r="A348" s="67" t="s">
        <v>337</v>
      </c>
      <c r="B348" s="68">
        <v>45581</v>
      </c>
      <c r="C348" s="69" t="s">
        <v>402</v>
      </c>
      <c r="D348" s="67" t="s">
        <v>27</v>
      </c>
      <c r="E348" s="70" t="s">
        <v>28</v>
      </c>
      <c r="F348" s="70" t="s">
        <v>585</v>
      </c>
      <c r="G348" s="71" t="s">
        <v>226</v>
      </c>
      <c r="H348" s="71">
        <v>27410953345</v>
      </c>
      <c r="I348" s="71" t="s">
        <v>545</v>
      </c>
      <c r="J348" s="67" t="s">
        <v>381</v>
      </c>
      <c r="K348" s="173">
        <v>1</v>
      </c>
      <c r="L348" s="72">
        <v>92000</v>
      </c>
      <c r="M348" s="72">
        <v>0</v>
      </c>
      <c r="N348" s="72">
        <v>0</v>
      </c>
      <c r="O348" s="72">
        <v>0</v>
      </c>
      <c r="P348" s="72">
        <v>0</v>
      </c>
      <c r="Q348" s="72">
        <v>0</v>
      </c>
      <c r="R348" s="72">
        <v>0</v>
      </c>
      <c r="S348" s="72">
        <v>0</v>
      </c>
      <c r="T348" s="72">
        <v>0</v>
      </c>
      <c r="U348" s="72">
        <f>+SUM(Tabla1[[#This Row],[IVA 21%]:[IVA 27%]])</f>
        <v>0</v>
      </c>
      <c r="V348" s="10">
        <f>+SUM(Tabla1[[#This Row],[Neto]:[Impuestos Internos / Otros Tributos]])</f>
        <v>92000</v>
      </c>
      <c r="W348" s="64">
        <f>+Tabla1[[#This Row],[Total]]</f>
        <v>92000</v>
      </c>
      <c r="X348" s="72">
        <v>0</v>
      </c>
      <c r="Y348" s="73" t="s">
        <v>324</v>
      </c>
      <c r="Z348" s="73"/>
      <c r="AA348" s="114">
        <v>45581</v>
      </c>
      <c r="AB348" s="72">
        <v>0</v>
      </c>
      <c r="AC348" s="71"/>
      <c r="AD348" s="71"/>
      <c r="AE348" s="71"/>
      <c r="AF348" s="71"/>
      <c r="AG348" s="71"/>
      <c r="AH348" s="72">
        <v>0</v>
      </c>
      <c r="AI348" s="71"/>
      <c r="AJ348" s="188"/>
    </row>
    <row r="349" spans="1:36" hidden="1" x14ac:dyDescent="0.3">
      <c r="A349" s="67" t="s">
        <v>337</v>
      </c>
      <c r="B349" s="68">
        <v>45581</v>
      </c>
      <c r="C349" s="69" t="s">
        <v>586</v>
      </c>
      <c r="D349" s="67" t="s">
        <v>27</v>
      </c>
      <c r="E349" s="70" t="s">
        <v>28</v>
      </c>
      <c r="F349" s="70" t="s">
        <v>157</v>
      </c>
      <c r="G349" s="71" t="s">
        <v>226</v>
      </c>
      <c r="H349" s="71">
        <v>27410953345</v>
      </c>
      <c r="I349" s="71" t="s">
        <v>587</v>
      </c>
      <c r="J349" s="67" t="s">
        <v>381</v>
      </c>
      <c r="K349" s="173">
        <v>1</v>
      </c>
      <c r="L349" s="72">
        <v>-92000</v>
      </c>
      <c r="M349" s="72">
        <v>0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0</v>
      </c>
      <c r="U349" s="72">
        <f>+SUM(Tabla1[[#This Row],[IVA 21%]:[IVA 27%]])</f>
        <v>0</v>
      </c>
      <c r="V349" s="10">
        <f>+SUM(Tabla1[[#This Row],[Neto]:[Impuestos Internos / Otros Tributos]])</f>
        <v>-92000</v>
      </c>
      <c r="W349" s="64">
        <f>+Tabla1[[#This Row],[Total]]</f>
        <v>-92000</v>
      </c>
      <c r="X349" s="72">
        <v>0</v>
      </c>
      <c r="Y349" s="73" t="s">
        <v>324</v>
      </c>
      <c r="Z349" s="73"/>
      <c r="AA349" s="114">
        <v>45581</v>
      </c>
      <c r="AB349" s="72">
        <v>0</v>
      </c>
      <c r="AC349" s="71"/>
      <c r="AD349" s="71"/>
      <c r="AE349" s="71"/>
      <c r="AF349" s="71"/>
      <c r="AG349" s="71"/>
      <c r="AH349" s="72">
        <v>0</v>
      </c>
      <c r="AI349" s="71"/>
      <c r="AJ349" s="188"/>
    </row>
    <row r="350" spans="1:36" hidden="1" x14ac:dyDescent="0.3">
      <c r="A350" s="67" t="s">
        <v>337</v>
      </c>
      <c r="B350" s="68">
        <v>45581</v>
      </c>
      <c r="C350" s="69" t="s">
        <v>26</v>
      </c>
      <c r="D350" s="67" t="s">
        <v>27</v>
      </c>
      <c r="E350" s="70" t="s">
        <v>32</v>
      </c>
      <c r="F350" s="70" t="s">
        <v>588</v>
      </c>
      <c r="G350" s="71" t="s">
        <v>46</v>
      </c>
      <c r="H350" s="71">
        <v>27386520599</v>
      </c>
      <c r="I350" s="71" t="s">
        <v>561</v>
      </c>
      <c r="J350" s="67" t="s">
        <v>381</v>
      </c>
      <c r="K350" s="173">
        <v>1</v>
      </c>
      <c r="L350" s="72">
        <v>377600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f>+SUM(Tabla1[[#This Row],[IVA 21%]:[IVA 27%]])</f>
        <v>0</v>
      </c>
      <c r="V350" s="10">
        <f>+SUM(Tabla1[[#This Row],[Neto]:[Impuestos Internos / Otros Tributos]])</f>
        <v>377600</v>
      </c>
      <c r="W350" s="72">
        <f>+Tabla1[[#This Row],[Total]]</f>
        <v>377600</v>
      </c>
      <c r="X350" s="72">
        <v>0</v>
      </c>
      <c r="Y350" s="73" t="s">
        <v>324</v>
      </c>
      <c r="Z350" s="73"/>
      <c r="AA350" s="114">
        <v>45581</v>
      </c>
      <c r="AB350" s="72">
        <v>0</v>
      </c>
      <c r="AC350" s="71"/>
      <c r="AD350" s="71"/>
      <c r="AE350" s="71"/>
      <c r="AF350" s="71"/>
      <c r="AG350" s="71"/>
      <c r="AH350" s="72">
        <v>0</v>
      </c>
      <c r="AI350" s="71"/>
      <c r="AJ350" s="188"/>
    </row>
    <row r="351" spans="1:36" hidden="1" x14ac:dyDescent="0.3">
      <c r="A351" s="67" t="s">
        <v>337</v>
      </c>
      <c r="B351" s="68">
        <v>45581</v>
      </c>
      <c r="C351" s="69" t="s">
        <v>410</v>
      </c>
      <c r="D351" s="67" t="s">
        <v>27</v>
      </c>
      <c r="E351" s="70" t="s">
        <v>32</v>
      </c>
      <c r="F351" s="70" t="s">
        <v>157</v>
      </c>
      <c r="G351" s="71" t="s">
        <v>46</v>
      </c>
      <c r="H351" s="71">
        <v>27386520599</v>
      </c>
      <c r="I351" s="71" t="s">
        <v>589</v>
      </c>
      <c r="J351" s="67" t="s">
        <v>381</v>
      </c>
      <c r="K351" s="173">
        <v>1</v>
      </c>
      <c r="L351" s="72">
        <v>377600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f>+SUM(Tabla1[[#This Row],[IVA 21%]:[IVA 27%]])</f>
        <v>0</v>
      </c>
      <c r="V351" s="10">
        <f>+SUM(Tabla1[[#This Row],[Neto]:[Impuestos Internos / Otros Tributos]])</f>
        <v>377600</v>
      </c>
      <c r="W351" s="72">
        <f>+Tabla1[[#This Row],[Total]]</f>
        <v>377600</v>
      </c>
      <c r="X351" s="72">
        <v>0</v>
      </c>
      <c r="Y351" s="73" t="s">
        <v>324</v>
      </c>
      <c r="Z351" s="73"/>
      <c r="AA351" s="114">
        <v>45581</v>
      </c>
      <c r="AB351" s="72">
        <v>0</v>
      </c>
      <c r="AC351" s="71"/>
      <c r="AD351" s="71"/>
      <c r="AE351" s="71"/>
      <c r="AF351" s="71"/>
      <c r="AG351" s="71"/>
      <c r="AH351" s="72">
        <v>0</v>
      </c>
      <c r="AI351" s="71"/>
      <c r="AJ351" s="188"/>
    </row>
    <row r="352" spans="1:36" hidden="1" x14ac:dyDescent="0.3">
      <c r="A352" s="67" t="s">
        <v>337</v>
      </c>
      <c r="B352" s="68">
        <v>45581</v>
      </c>
      <c r="C352" s="69" t="s">
        <v>26</v>
      </c>
      <c r="D352" s="67" t="s">
        <v>27</v>
      </c>
      <c r="E352" s="70" t="s">
        <v>37</v>
      </c>
      <c r="F352" s="70" t="s">
        <v>590</v>
      </c>
      <c r="G352" s="71" t="s">
        <v>248</v>
      </c>
      <c r="H352" s="71">
        <v>27382124184</v>
      </c>
      <c r="I352" s="71" t="s">
        <v>561</v>
      </c>
      <c r="J352" s="67" t="s">
        <v>381</v>
      </c>
      <c r="K352" s="173">
        <v>1</v>
      </c>
      <c r="L352" s="72">
        <v>296800</v>
      </c>
      <c r="M352" s="72">
        <v>0</v>
      </c>
      <c r="N352" s="72">
        <v>0</v>
      </c>
      <c r="O352" s="72">
        <v>0</v>
      </c>
      <c r="P352" s="72">
        <v>0</v>
      </c>
      <c r="Q352" s="72">
        <v>0</v>
      </c>
      <c r="R352" s="72">
        <v>0</v>
      </c>
      <c r="S352" s="72">
        <v>0</v>
      </c>
      <c r="T352" s="72">
        <v>0</v>
      </c>
      <c r="U352" s="72">
        <f>+SUM(Tabla1[[#This Row],[IVA 21%]:[IVA 27%]])</f>
        <v>0</v>
      </c>
      <c r="V352" s="10">
        <f>+SUM(Tabla1[[#This Row],[Neto]:[Impuestos Internos / Otros Tributos]])</f>
        <v>296800</v>
      </c>
      <c r="W352" s="72">
        <f>+Tabla1[[#This Row],[Total]]</f>
        <v>296800</v>
      </c>
      <c r="X352" s="72">
        <v>0</v>
      </c>
      <c r="Y352" s="73" t="s">
        <v>324</v>
      </c>
      <c r="Z352" s="73"/>
      <c r="AA352" s="114">
        <v>45581</v>
      </c>
      <c r="AB352" s="72">
        <v>0</v>
      </c>
      <c r="AC352" s="71"/>
      <c r="AD352" s="71"/>
      <c r="AE352" s="71"/>
      <c r="AF352" s="71"/>
      <c r="AG352" s="71"/>
      <c r="AH352" s="72">
        <v>0</v>
      </c>
      <c r="AI352" s="71"/>
      <c r="AJ352" s="188"/>
    </row>
    <row r="353" spans="1:36" hidden="1" x14ac:dyDescent="0.3">
      <c r="A353" s="67" t="s">
        <v>337</v>
      </c>
      <c r="B353" s="68">
        <v>45581</v>
      </c>
      <c r="C353" s="69" t="s">
        <v>454</v>
      </c>
      <c r="D353" s="67" t="s">
        <v>27</v>
      </c>
      <c r="E353" s="70" t="s">
        <v>37</v>
      </c>
      <c r="F353" s="70" t="s">
        <v>157</v>
      </c>
      <c r="G353" s="71" t="s">
        <v>248</v>
      </c>
      <c r="H353" s="71">
        <v>27382124184</v>
      </c>
      <c r="I353" s="71" t="s">
        <v>591</v>
      </c>
      <c r="J353" s="67" t="s">
        <v>381</v>
      </c>
      <c r="K353" s="173">
        <v>1</v>
      </c>
      <c r="L353" s="72">
        <v>-296800</v>
      </c>
      <c r="M353" s="72">
        <v>0</v>
      </c>
      <c r="N353" s="72">
        <v>0</v>
      </c>
      <c r="O353" s="72">
        <v>0</v>
      </c>
      <c r="P353" s="72">
        <v>0</v>
      </c>
      <c r="Q353" s="72">
        <v>0</v>
      </c>
      <c r="R353" s="72">
        <v>0</v>
      </c>
      <c r="S353" s="72">
        <v>0</v>
      </c>
      <c r="T353" s="72">
        <v>0</v>
      </c>
      <c r="U353" s="72">
        <f>+SUM(Tabla1[[#This Row],[IVA 21%]:[IVA 27%]])</f>
        <v>0</v>
      </c>
      <c r="V353" s="10">
        <f>+SUM(Tabla1[[#This Row],[Neto]:[Impuestos Internos / Otros Tributos]])</f>
        <v>-296800</v>
      </c>
      <c r="W353" s="72">
        <f>+Tabla1[[#This Row],[Total]]</f>
        <v>-296800</v>
      </c>
      <c r="X353" s="72">
        <v>0</v>
      </c>
      <c r="Y353" s="73" t="s">
        <v>324</v>
      </c>
      <c r="Z353" s="73"/>
      <c r="AA353" s="114">
        <v>45581</v>
      </c>
      <c r="AB353" s="72">
        <v>0</v>
      </c>
      <c r="AC353" s="71"/>
      <c r="AD353" s="71"/>
      <c r="AE353" s="71"/>
      <c r="AF353" s="71"/>
      <c r="AG353" s="71"/>
      <c r="AH353" s="72">
        <v>0</v>
      </c>
      <c r="AI353" s="71"/>
      <c r="AJ353" s="188"/>
    </row>
    <row r="354" spans="1:36" hidden="1" x14ac:dyDescent="0.3">
      <c r="A354" s="78" t="s">
        <v>337</v>
      </c>
      <c r="B354" s="79">
        <v>45581</v>
      </c>
      <c r="C354" s="80" t="s">
        <v>26</v>
      </c>
      <c r="D354" s="78" t="s">
        <v>403</v>
      </c>
      <c r="E354" s="9" t="s">
        <v>32</v>
      </c>
      <c r="F354" s="9" t="s">
        <v>628</v>
      </c>
      <c r="G354" s="81" t="s">
        <v>406</v>
      </c>
      <c r="H354" s="4">
        <v>30111111111</v>
      </c>
      <c r="I354" s="81" t="s">
        <v>629</v>
      </c>
      <c r="J354" s="78" t="s">
        <v>381</v>
      </c>
      <c r="K354" s="173">
        <v>1</v>
      </c>
      <c r="L354" s="82">
        <f>2500+6000</f>
        <v>8500</v>
      </c>
      <c r="M354" s="82">
        <v>0</v>
      </c>
      <c r="N354" s="82">
        <v>0</v>
      </c>
      <c r="O354" s="82">
        <v>0</v>
      </c>
      <c r="P354" s="82">
        <v>0</v>
      </c>
      <c r="Q354" s="82">
        <v>0</v>
      </c>
      <c r="R354" s="82">
        <v>0</v>
      </c>
      <c r="S354" s="82">
        <v>0</v>
      </c>
      <c r="T354" s="82">
        <v>0</v>
      </c>
      <c r="U354" s="82">
        <f>+SUM(Tabla1[[#This Row],[IVA 21%]:[IVA 27%]])</f>
        <v>0</v>
      </c>
      <c r="V354" s="10">
        <f>+SUM(Tabla1[[#This Row],[Neto]:[Impuestos Internos / Otros Tributos]])</f>
        <v>8500</v>
      </c>
      <c r="W354" s="10">
        <f>+Tabla1[[#This Row],[Total]]</f>
        <v>8500</v>
      </c>
      <c r="X354" s="82">
        <v>0</v>
      </c>
      <c r="Y354" s="83" t="s">
        <v>324</v>
      </c>
      <c r="Z354" s="83"/>
      <c r="AA354" s="108">
        <v>45591</v>
      </c>
      <c r="AB354" s="82">
        <v>0</v>
      </c>
      <c r="AC354" s="81"/>
      <c r="AD354" s="81"/>
      <c r="AE354" s="81"/>
      <c r="AF354" s="81"/>
      <c r="AG354" s="81"/>
      <c r="AH354" s="84">
        <f>+Tabla1[[#This Row],[Total a Pagar]]</f>
        <v>8500</v>
      </c>
      <c r="AI354" s="81"/>
      <c r="AJ354" s="188"/>
    </row>
    <row r="355" spans="1:36" hidden="1" x14ac:dyDescent="0.3">
      <c r="A355" s="78" t="s">
        <v>337</v>
      </c>
      <c r="B355" s="79">
        <v>45581</v>
      </c>
      <c r="C355" s="37" t="s">
        <v>434</v>
      </c>
      <c r="D355" s="78" t="s">
        <v>403</v>
      </c>
      <c r="E355" s="85" t="s">
        <v>28</v>
      </c>
      <c r="F355" s="85" t="s">
        <v>38</v>
      </c>
      <c r="G355" s="81" t="s">
        <v>406</v>
      </c>
      <c r="H355" s="81">
        <v>30111111111</v>
      </c>
      <c r="I355" s="81" t="s">
        <v>405</v>
      </c>
      <c r="J355" s="78" t="s">
        <v>381</v>
      </c>
      <c r="K355" s="173">
        <v>1</v>
      </c>
      <c r="L355" s="82">
        <v>3000</v>
      </c>
      <c r="M355" s="82">
        <v>0</v>
      </c>
      <c r="N355" s="82">
        <v>0</v>
      </c>
      <c r="O355" s="82">
        <v>0</v>
      </c>
      <c r="P355" s="82">
        <v>0</v>
      </c>
      <c r="Q355" s="82">
        <v>0</v>
      </c>
      <c r="R355" s="82">
        <v>0</v>
      </c>
      <c r="S355" s="82">
        <v>0</v>
      </c>
      <c r="T355" s="82">
        <v>0</v>
      </c>
      <c r="U355" s="82">
        <f>+SUM(Tabla1[[#This Row],[IVA 21%]:[IVA 27%]])</f>
        <v>0</v>
      </c>
      <c r="V355" s="10">
        <f>+SUM(Tabla1[[#This Row],[Neto]:[Impuestos Internos / Otros Tributos]])</f>
        <v>3000</v>
      </c>
      <c r="W355" s="10">
        <f>+Tabla1[[#This Row],[Total]]</f>
        <v>3000</v>
      </c>
      <c r="X355" s="82">
        <v>0</v>
      </c>
      <c r="Y355" s="83" t="s">
        <v>324</v>
      </c>
      <c r="Z355" s="83"/>
      <c r="AA355" s="108">
        <v>45581</v>
      </c>
      <c r="AB355" s="82">
        <v>0</v>
      </c>
      <c r="AC355" s="81"/>
      <c r="AD355" s="81"/>
      <c r="AE355" s="81"/>
      <c r="AF355" s="81"/>
      <c r="AG355" s="81"/>
      <c r="AH355" s="84">
        <f>+Tabla1[[#This Row],[Total a Pagar]]</f>
        <v>3000</v>
      </c>
      <c r="AI355" s="81"/>
      <c r="AJ355" s="188"/>
    </row>
    <row r="356" spans="1:36" hidden="1" x14ac:dyDescent="0.3">
      <c r="A356" s="78" t="s">
        <v>337</v>
      </c>
      <c r="B356" s="79">
        <v>45581</v>
      </c>
      <c r="C356" s="80" t="s">
        <v>26</v>
      </c>
      <c r="D356" s="8" t="s">
        <v>58</v>
      </c>
      <c r="E356" s="9" t="s">
        <v>74</v>
      </c>
      <c r="F356" s="9" t="s">
        <v>630</v>
      </c>
      <c r="G356" s="81" t="s">
        <v>80</v>
      </c>
      <c r="H356" s="4">
        <v>20138455654</v>
      </c>
      <c r="I356" s="4" t="s">
        <v>81</v>
      </c>
      <c r="J356" s="8" t="s">
        <v>381</v>
      </c>
      <c r="K356" s="173">
        <v>1</v>
      </c>
      <c r="L356" s="82">
        <v>5537.19</v>
      </c>
      <c r="M356" s="82">
        <f>+Tabla1[[#This Row],[Neto]]*21%</f>
        <v>1162.8099</v>
      </c>
      <c r="N356" s="82">
        <v>0</v>
      </c>
      <c r="O356" s="82">
        <v>0</v>
      </c>
      <c r="P356" s="82">
        <v>0</v>
      </c>
      <c r="Q356" s="82">
        <v>0</v>
      </c>
      <c r="R356" s="82">
        <v>0</v>
      </c>
      <c r="S356" s="82">
        <v>0</v>
      </c>
      <c r="T356" s="82">
        <v>0</v>
      </c>
      <c r="U356" s="82">
        <f>+SUM(Tabla1[[#This Row],[IVA 21%]:[IVA 27%]])</f>
        <v>1162.8099</v>
      </c>
      <c r="V356" s="10">
        <f>+SUM(Tabla1[[#This Row],[Neto]:[Impuestos Internos / Otros Tributos]])</f>
        <v>6699.9998999999998</v>
      </c>
      <c r="W356" s="10">
        <f>+Tabla1[[#This Row],[Total]]</f>
        <v>6699.9998999999998</v>
      </c>
      <c r="X356" s="82">
        <v>0</v>
      </c>
      <c r="Y356" s="83" t="s">
        <v>324</v>
      </c>
      <c r="Z356" s="83"/>
      <c r="AA356" s="108">
        <v>45581</v>
      </c>
      <c r="AB356" s="82">
        <v>0</v>
      </c>
      <c r="AC356" s="81"/>
      <c r="AD356" s="81"/>
      <c r="AE356" s="81"/>
      <c r="AF356" s="81"/>
      <c r="AG356" s="81"/>
      <c r="AH356" s="84">
        <f>+Tabla1[[#This Row],[Total a Pagar]]</f>
        <v>6699.9998999999998</v>
      </c>
      <c r="AI356" s="81"/>
      <c r="AJ356" s="188"/>
    </row>
    <row r="357" spans="1:36" hidden="1" x14ac:dyDescent="0.3">
      <c r="A357" s="78" t="s">
        <v>337</v>
      </c>
      <c r="B357" s="79">
        <v>45581</v>
      </c>
      <c r="C357" s="12" t="s">
        <v>26</v>
      </c>
      <c r="D357" s="8" t="s">
        <v>58</v>
      </c>
      <c r="E357" s="9" t="s">
        <v>111</v>
      </c>
      <c r="F357" s="9" t="s">
        <v>631</v>
      </c>
      <c r="G357" s="81" t="s">
        <v>95</v>
      </c>
      <c r="H357" s="4">
        <v>30583516790</v>
      </c>
      <c r="I357" s="4" t="s">
        <v>96</v>
      </c>
      <c r="J357" s="8" t="s">
        <v>381</v>
      </c>
      <c r="K357" s="173">
        <v>1</v>
      </c>
      <c r="L357" s="82">
        <v>9249.8799999999992</v>
      </c>
      <c r="M357" s="82">
        <f>+Tabla1[[#This Row],[Neto]]*21%</f>
        <v>1942.4747999999997</v>
      </c>
      <c r="N357" s="82">
        <v>0</v>
      </c>
      <c r="O357" s="82">
        <v>0</v>
      </c>
      <c r="P357" s="82">
        <v>0</v>
      </c>
      <c r="Q357" s="82">
        <v>0</v>
      </c>
      <c r="R357" s="82">
        <v>0</v>
      </c>
      <c r="S357" s="82">
        <v>0</v>
      </c>
      <c r="T357" s="82">
        <v>0</v>
      </c>
      <c r="U357" s="82">
        <f>+SUM(Tabla1[[#This Row],[IVA 21%]:[IVA 27%]])</f>
        <v>1942.4747999999997</v>
      </c>
      <c r="V357" s="10">
        <f>+SUM(Tabla1[[#This Row],[Neto]:[Impuestos Internos / Otros Tributos]])</f>
        <v>11192.354799999999</v>
      </c>
      <c r="W357" s="82">
        <f>+Tabla1[[#This Row],[Total]]</f>
        <v>11192.354799999999</v>
      </c>
      <c r="X357" s="82">
        <v>0</v>
      </c>
      <c r="Y357" s="83" t="s">
        <v>324</v>
      </c>
      <c r="Z357" s="83"/>
      <c r="AA357" s="108">
        <v>45581</v>
      </c>
      <c r="AB357" s="82">
        <v>0</v>
      </c>
      <c r="AC357" s="81"/>
      <c r="AD357" s="81"/>
      <c r="AE357" s="81"/>
      <c r="AF357" s="81"/>
      <c r="AG357" s="81"/>
      <c r="AH357" s="84">
        <f>+Tabla1[[#This Row],[Total a Pagar]]</f>
        <v>11192.354799999999</v>
      </c>
      <c r="AI357" s="81"/>
      <c r="AJ357" s="188"/>
    </row>
    <row r="358" spans="1:36" hidden="1" x14ac:dyDescent="0.3">
      <c r="A358" s="78" t="s">
        <v>337</v>
      </c>
      <c r="B358" s="79">
        <v>45581</v>
      </c>
      <c r="C358" s="12" t="s">
        <v>26</v>
      </c>
      <c r="D358" s="8" t="s">
        <v>27</v>
      </c>
      <c r="E358" s="9" t="s">
        <v>37</v>
      </c>
      <c r="F358" s="9" t="s">
        <v>590</v>
      </c>
      <c r="G358" s="81" t="s">
        <v>646</v>
      </c>
      <c r="H358" s="81">
        <v>20258842244</v>
      </c>
      <c r="I358" s="81" t="s">
        <v>647</v>
      </c>
      <c r="J358" s="78" t="s">
        <v>381</v>
      </c>
      <c r="K358" s="173">
        <v>1</v>
      </c>
      <c r="L358" s="82">
        <v>35000</v>
      </c>
      <c r="M358" s="82">
        <v>0</v>
      </c>
      <c r="N358" s="82">
        <v>0</v>
      </c>
      <c r="O358" s="82">
        <v>0</v>
      </c>
      <c r="P358" s="82">
        <v>0</v>
      </c>
      <c r="Q358" s="82">
        <v>0</v>
      </c>
      <c r="R358" s="82">
        <v>0</v>
      </c>
      <c r="S358" s="82">
        <v>0</v>
      </c>
      <c r="T358" s="82">
        <v>0</v>
      </c>
      <c r="U358" s="82">
        <f>+SUM(Tabla1[[#This Row],[IVA 21%]:[IVA 27%]])</f>
        <v>0</v>
      </c>
      <c r="V358" s="10">
        <f>+SUM(Tabla1[[#This Row],[Neto]:[Impuestos Internos / Otros Tributos]])</f>
        <v>35000</v>
      </c>
      <c r="W358" s="10">
        <f>+Tabla1[[#This Row],[Total]]</f>
        <v>35000</v>
      </c>
      <c r="X358" s="82">
        <v>0</v>
      </c>
      <c r="Y358" s="83" t="s">
        <v>324</v>
      </c>
      <c r="Z358" s="83"/>
      <c r="AA358" s="108">
        <v>45581</v>
      </c>
      <c r="AB358" s="82">
        <v>0</v>
      </c>
      <c r="AC358" s="81"/>
      <c r="AD358" s="81"/>
      <c r="AE358" s="81"/>
      <c r="AF358" s="81"/>
      <c r="AG358" s="81"/>
      <c r="AH358" s="84">
        <f>+Tabla1[[#This Row],[Total a Pagar]]</f>
        <v>35000</v>
      </c>
      <c r="AI358" s="81"/>
      <c r="AJ358" s="188"/>
    </row>
    <row r="359" spans="1:36" hidden="1" x14ac:dyDescent="0.3">
      <c r="A359" s="8" t="s">
        <v>337</v>
      </c>
      <c r="B359" s="53">
        <v>45582</v>
      </c>
      <c r="C359" s="12" t="s">
        <v>402</v>
      </c>
      <c r="D359" s="8" t="s">
        <v>27</v>
      </c>
      <c r="E359" s="9" t="s">
        <v>28</v>
      </c>
      <c r="F359" s="9" t="s">
        <v>172</v>
      </c>
      <c r="G359" s="4" t="s">
        <v>258</v>
      </c>
      <c r="H359" s="4">
        <v>27373720904</v>
      </c>
      <c r="I359" s="4" t="s">
        <v>542</v>
      </c>
      <c r="J359" s="8" t="s">
        <v>381</v>
      </c>
      <c r="K359" s="173">
        <v>1</v>
      </c>
      <c r="L359" s="10">
        <v>129200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f>+SUM(Tabla1[[#This Row],[IVA 21%]:[IVA 27%]])</f>
        <v>0</v>
      </c>
      <c r="V359" s="10">
        <f>+SUM(Tabla1[[#This Row],[Neto]:[Impuestos Internos / Otros Tributos]])</f>
        <v>129200</v>
      </c>
      <c r="W359" s="10">
        <f>+Tabla1[[#This Row],[Total]]</f>
        <v>129200</v>
      </c>
      <c r="X359" s="10">
        <v>0</v>
      </c>
      <c r="Y359" s="10" t="s">
        <v>324</v>
      </c>
      <c r="Z359" s="10"/>
      <c r="AA359" s="109">
        <v>45582</v>
      </c>
      <c r="AB359" s="32">
        <f>+Tabla1[[#This Row],[Total a Pagar]]</f>
        <v>129200</v>
      </c>
      <c r="AH359" s="10">
        <v>0</v>
      </c>
      <c r="AJ359" s="188"/>
    </row>
    <row r="360" spans="1:36" hidden="1" x14ac:dyDescent="0.3">
      <c r="A360" s="59" t="s">
        <v>337</v>
      </c>
      <c r="B360" s="60">
        <v>45582</v>
      </c>
      <c r="C360" s="61" t="s">
        <v>402</v>
      </c>
      <c r="D360" s="59" t="s">
        <v>27</v>
      </c>
      <c r="E360" s="62" t="s">
        <v>28</v>
      </c>
      <c r="F360" s="62" t="s">
        <v>543</v>
      </c>
      <c r="G360" s="63" t="s">
        <v>226</v>
      </c>
      <c r="H360" s="63">
        <v>27410953345</v>
      </c>
      <c r="I360" s="63" t="s">
        <v>544</v>
      </c>
      <c r="J360" s="59" t="s">
        <v>381</v>
      </c>
      <c r="K360" s="173">
        <v>1</v>
      </c>
      <c r="L360" s="64">
        <v>132000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f>+SUM(Tabla1[[#This Row],[IVA 21%]:[IVA 27%]])</f>
        <v>0</v>
      </c>
      <c r="V360" s="10">
        <f>+SUM(Tabla1[[#This Row],[Neto]:[Impuestos Internos / Otros Tributos]])</f>
        <v>132000</v>
      </c>
      <c r="W360" s="64">
        <f>+Tabla1[[#This Row],[Total]]</f>
        <v>132000</v>
      </c>
      <c r="X360" s="64">
        <v>0</v>
      </c>
      <c r="Y360" s="10" t="s">
        <v>324</v>
      </c>
      <c r="Z360" s="10"/>
      <c r="AA360" s="115">
        <v>45582</v>
      </c>
      <c r="AB360" s="32">
        <f>+Tabla1[[#This Row],[Total a Pagar]]</f>
        <v>132000</v>
      </c>
      <c r="AC360" s="63"/>
      <c r="AD360" s="63"/>
      <c r="AE360" s="63"/>
      <c r="AF360" s="63"/>
      <c r="AG360" s="63"/>
      <c r="AH360" s="64">
        <v>0</v>
      </c>
      <c r="AI360" s="63"/>
      <c r="AJ360" s="188"/>
    </row>
    <row r="361" spans="1:36" hidden="1" x14ac:dyDescent="0.3">
      <c r="A361" s="59" t="s">
        <v>337</v>
      </c>
      <c r="B361" s="60">
        <v>45582</v>
      </c>
      <c r="C361" s="61" t="s">
        <v>402</v>
      </c>
      <c r="D361" s="59" t="s">
        <v>27</v>
      </c>
      <c r="E361" s="62" t="s">
        <v>28</v>
      </c>
      <c r="F361" s="62" t="s">
        <v>546</v>
      </c>
      <c r="G361" s="63" t="s">
        <v>226</v>
      </c>
      <c r="H361" s="63">
        <v>27410953345</v>
      </c>
      <c r="I361" s="63" t="s">
        <v>545</v>
      </c>
      <c r="J361" s="59" t="s">
        <v>381</v>
      </c>
      <c r="K361" s="173">
        <v>1</v>
      </c>
      <c r="L361" s="64">
        <v>120000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f>+SUM(Tabla1[[#This Row],[IVA 21%]:[IVA 27%]])</f>
        <v>0</v>
      </c>
      <c r="V361" s="10">
        <f>+SUM(Tabla1[[#This Row],[Neto]:[Impuestos Internos / Otros Tributos]])</f>
        <v>120000</v>
      </c>
      <c r="W361" s="64">
        <f>+Tabla1[[#This Row],[Total]]</f>
        <v>120000</v>
      </c>
      <c r="X361" s="64">
        <v>0</v>
      </c>
      <c r="Y361" s="10" t="s">
        <v>324</v>
      </c>
      <c r="Z361" s="10"/>
      <c r="AA361" s="115">
        <v>45582</v>
      </c>
      <c r="AB361" s="32">
        <f>+Tabla1[[#This Row],[Total a Pagar]]</f>
        <v>120000</v>
      </c>
      <c r="AC361" s="63"/>
      <c r="AD361" s="63"/>
      <c r="AE361" s="63"/>
      <c r="AF361" s="63"/>
      <c r="AG361" s="63"/>
      <c r="AH361" s="64">
        <v>0</v>
      </c>
      <c r="AI361" s="63"/>
      <c r="AJ361" s="188"/>
    </row>
    <row r="362" spans="1:36" hidden="1" x14ac:dyDescent="0.3">
      <c r="A362" s="59" t="s">
        <v>337</v>
      </c>
      <c r="B362" s="60">
        <v>45582</v>
      </c>
      <c r="C362" s="61" t="s">
        <v>26</v>
      </c>
      <c r="D362" s="59" t="s">
        <v>27</v>
      </c>
      <c r="E362" s="62" t="s">
        <v>37</v>
      </c>
      <c r="F362" s="62" t="s">
        <v>547</v>
      </c>
      <c r="G362" s="63" t="s">
        <v>246</v>
      </c>
      <c r="H362" s="63">
        <v>27261538046</v>
      </c>
      <c r="I362" s="63" t="s">
        <v>545</v>
      </c>
      <c r="J362" s="59" t="s">
        <v>381</v>
      </c>
      <c r="K362" s="173">
        <v>1</v>
      </c>
      <c r="L362" s="64">
        <v>72000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f>+SUM(Tabla1[[#This Row],[IVA 21%]:[IVA 27%]])</f>
        <v>0</v>
      </c>
      <c r="V362" s="10">
        <f>+SUM(Tabla1[[#This Row],[Neto]:[Impuestos Internos / Otros Tributos]])</f>
        <v>72000</v>
      </c>
      <c r="W362" s="64">
        <f>+Tabla1[[#This Row],[Total]]</f>
        <v>72000</v>
      </c>
      <c r="X362" s="64">
        <v>0</v>
      </c>
      <c r="Y362" s="10" t="s">
        <v>324</v>
      </c>
      <c r="Z362" s="10"/>
      <c r="AA362" s="115">
        <v>45582</v>
      </c>
      <c r="AB362" s="32">
        <f>+Tabla1[[#This Row],[Total a Pagar]]</f>
        <v>72000</v>
      </c>
      <c r="AC362" s="63"/>
      <c r="AD362" s="63"/>
      <c r="AE362" s="63"/>
      <c r="AF362" s="63"/>
      <c r="AG362" s="63"/>
      <c r="AH362" s="64">
        <v>0</v>
      </c>
      <c r="AI362" s="63"/>
      <c r="AJ362" s="188"/>
    </row>
    <row r="363" spans="1:36" hidden="1" x14ac:dyDescent="0.3">
      <c r="A363" s="59" t="s">
        <v>337</v>
      </c>
      <c r="B363" s="60">
        <v>45582</v>
      </c>
      <c r="C363" s="61" t="s">
        <v>26</v>
      </c>
      <c r="D363" s="59" t="s">
        <v>27</v>
      </c>
      <c r="E363" s="62" t="s">
        <v>37</v>
      </c>
      <c r="F363" s="62" t="s">
        <v>549</v>
      </c>
      <c r="G363" s="63" t="s">
        <v>53</v>
      </c>
      <c r="H363" s="63">
        <v>23286334334</v>
      </c>
      <c r="I363" s="4" t="s">
        <v>548</v>
      </c>
      <c r="J363" s="59" t="s">
        <v>381</v>
      </c>
      <c r="K363" s="173">
        <v>1</v>
      </c>
      <c r="L363" s="64">
        <v>326400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f>+SUM(Tabla1[[#This Row],[IVA 21%]:[IVA 27%]])</f>
        <v>0</v>
      </c>
      <c r="V363" s="10">
        <f>+SUM(Tabla1[[#This Row],[Neto]:[Impuestos Internos / Otros Tributos]])</f>
        <v>326400</v>
      </c>
      <c r="W363" s="64">
        <f>+Tabla1[[#This Row],[Total]]</f>
        <v>326400</v>
      </c>
      <c r="X363" s="64">
        <v>0</v>
      </c>
      <c r="Y363" s="10" t="s">
        <v>324</v>
      </c>
      <c r="Z363" s="10"/>
      <c r="AA363" s="115">
        <v>45582</v>
      </c>
      <c r="AB363" s="32">
        <f>+Tabla1[[#This Row],[Total a Pagar]]</f>
        <v>326400</v>
      </c>
      <c r="AC363" s="63"/>
      <c r="AD363" s="63"/>
      <c r="AE363" s="63"/>
      <c r="AF363" s="63"/>
      <c r="AG363" s="63"/>
      <c r="AH363" s="64">
        <v>0</v>
      </c>
      <c r="AI363" s="63"/>
      <c r="AJ363" s="188"/>
    </row>
    <row r="364" spans="1:36" hidden="1" x14ac:dyDescent="0.3">
      <c r="A364" s="8" t="s">
        <v>337</v>
      </c>
      <c r="B364" s="53">
        <v>45582</v>
      </c>
      <c r="C364" s="12" t="s">
        <v>26</v>
      </c>
      <c r="D364" s="8" t="s">
        <v>27</v>
      </c>
      <c r="E364" s="9" t="s">
        <v>32</v>
      </c>
      <c r="F364" s="9" t="s">
        <v>554</v>
      </c>
      <c r="G364" s="4" t="s">
        <v>552</v>
      </c>
      <c r="H364" s="4">
        <v>20306364945</v>
      </c>
      <c r="I364" s="4" t="s">
        <v>811</v>
      </c>
      <c r="J364" s="8" t="s">
        <v>381</v>
      </c>
      <c r="K364" s="173">
        <v>1</v>
      </c>
      <c r="L364" s="10">
        <v>4165000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f>+SUM(Tabla1[[#This Row],[IVA 21%]:[IVA 27%]])</f>
        <v>0</v>
      </c>
      <c r="V364" s="10">
        <f>+SUM(Tabla1[[#This Row],[Neto]:[Impuestos Internos / Otros Tributos]])</f>
        <v>4165000</v>
      </c>
      <c r="W364" s="10">
        <f>+Tabla1[[#This Row],[Total]]</f>
        <v>4165000</v>
      </c>
      <c r="X364" s="10">
        <v>0</v>
      </c>
      <c r="Y364" s="14" t="s">
        <v>324</v>
      </c>
      <c r="Z364" s="14"/>
      <c r="AA364" s="109">
        <v>45587</v>
      </c>
      <c r="AB364" s="32">
        <v>4165000</v>
      </c>
      <c r="AJ364" s="188" t="s">
        <v>950</v>
      </c>
    </row>
    <row r="365" spans="1:36" hidden="1" x14ac:dyDescent="0.3">
      <c r="A365" s="67" t="s">
        <v>337</v>
      </c>
      <c r="B365" s="68">
        <v>45582</v>
      </c>
      <c r="C365" s="69" t="s">
        <v>26</v>
      </c>
      <c r="D365" s="67" t="s">
        <v>27</v>
      </c>
      <c r="E365" s="70" t="s">
        <v>28</v>
      </c>
      <c r="F365" s="70" t="s">
        <v>169</v>
      </c>
      <c r="G365" s="71" t="s">
        <v>56</v>
      </c>
      <c r="H365" s="71">
        <v>20288248398</v>
      </c>
      <c r="I365" s="71" t="s">
        <v>564</v>
      </c>
      <c r="J365" s="67" t="s">
        <v>381</v>
      </c>
      <c r="K365" s="173">
        <v>1</v>
      </c>
      <c r="L365" s="72">
        <v>10400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</v>
      </c>
      <c r="T365" s="72">
        <v>0</v>
      </c>
      <c r="U365" s="72">
        <f>+SUM(Tabla1[[#This Row],[IVA 21%]:[IVA 27%]])</f>
        <v>0</v>
      </c>
      <c r="V365" s="10">
        <f>+SUM(Tabla1[[#This Row],[Neto]:[Impuestos Internos / Otros Tributos]])</f>
        <v>10400</v>
      </c>
      <c r="W365" s="10">
        <f>+Tabla1[[#This Row],[Total]]</f>
        <v>10400</v>
      </c>
      <c r="X365" s="72">
        <v>0</v>
      </c>
      <c r="Y365" s="10" t="s">
        <v>324</v>
      </c>
      <c r="Z365" s="10"/>
      <c r="AA365" s="114">
        <v>45582</v>
      </c>
      <c r="AB365" s="72">
        <v>0</v>
      </c>
      <c r="AC365" s="71"/>
      <c r="AD365" s="71"/>
      <c r="AE365" s="71"/>
      <c r="AF365" s="71"/>
      <c r="AG365" s="71"/>
      <c r="AH365" s="72">
        <v>0</v>
      </c>
      <c r="AI365" s="71"/>
      <c r="AJ365" s="188"/>
    </row>
    <row r="366" spans="1:36" hidden="1" x14ac:dyDescent="0.3">
      <c r="A366" s="67" t="s">
        <v>337</v>
      </c>
      <c r="B366" s="68">
        <v>45582</v>
      </c>
      <c r="C366" s="69" t="s">
        <v>26</v>
      </c>
      <c r="D366" s="67" t="s">
        <v>27</v>
      </c>
      <c r="E366" s="70" t="s">
        <v>28</v>
      </c>
      <c r="F366" s="70" t="s">
        <v>227</v>
      </c>
      <c r="G366" s="71" t="s">
        <v>566</v>
      </c>
      <c r="H366" s="71">
        <v>23373034894</v>
      </c>
      <c r="I366" s="71" t="s">
        <v>567</v>
      </c>
      <c r="J366" s="67" t="s">
        <v>381</v>
      </c>
      <c r="K366" s="173">
        <v>1</v>
      </c>
      <c r="L366" s="72">
        <v>281100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</v>
      </c>
      <c r="U366" s="72">
        <f>+SUM(Tabla1[[#This Row],[IVA 21%]:[IVA 27%]])</f>
        <v>0</v>
      </c>
      <c r="V366" s="10">
        <f>+SUM(Tabla1[[#This Row],[Neto]:[Impuestos Internos / Otros Tributos]])</f>
        <v>281100</v>
      </c>
      <c r="W366" s="72">
        <f>+Tabla1[[#This Row],[Total]]</f>
        <v>281100</v>
      </c>
      <c r="X366" s="72">
        <v>0</v>
      </c>
      <c r="Y366" s="73" t="s">
        <v>324</v>
      </c>
      <c r="Z366" s="73"/>
      <c r="AA366" s="114">
        <v>45582</v>
      </c>
      <c r="AB366" s="74">
        <f>+Tabla1[[#This Row],[Total a Pagar]]</f>
        <v>281100</v>
      </c>
      <c r="AC366" s="71"/>
      <c r="AD366" s="71"/>
      <c r="AE366" s="71"/>
      <c r="AF366" s="71"/>
      <c r="AG366" s="71"/>
      <c r="AH366" s="72">
        <v>0</v>
      </c>
      <c r="AI366" s="71"/>
      <c r="AJ366" s="188"/>
    </row>
    <row r="367" spans="1:36" hidden="1" x14ac:dyDescent="0.3">
      <c r="A367" s="67" t="s">
        <v>337</v>
      </c>
      <c r="B367" s="68">
        <v>45582</v>
      </c>
      <c r="C367" s="69" t="s">
        <v>26</v>
      </c>
      <c r="D367" s="67" t="s">
        <v>27</v>
      </c>
      <c r="E367" s="70" t="s">
        <v>28</v>
      </c>
      <c r="F367" s="70" t="s">
        <v>422</v>
      </c>
      <c r="G367" s="71" t="s">
        <v>224</v>
      </c>
      <c r="H367" s="71">
        <v>27376021829</v>
      </c>
      <c r="I367" s="71" t="s">
        <v>570</v>
      </c>
      <c r="J367" s="67" t="s">
        <v>381</v>
      </c>
      <c r="K367" s="173">
        <v>1</v>
      </c>
      <c r="L367" s="72">
        <v>398900</v>
      </c>
      <c r="M367" s="72">
        <v>0</v>
      </c>
      <c r="N367" s="72">
        <v>0</v>
      </c>
      <c r="O367" s="72">
        <v>0</v>
      </c>
      <c r="P367" s="72">
        <v>0</v>
      </c>
      <c r="Q367" s="72">
        <v>0</v>
      </c>
      <c r="R367" s="72">
        <v>0</v>
      </c>
      <c r="S367" s="72">
        <v>0</v>
      </c>
      <c r="T367" s="72">
        <v>0</v>
      </c>
      <c r="U367" s="72">
        <f>+SUM(Tabla1[[#This Row],[IVA 21%]:[IVA 27%]])</f>
        <v>0</v>
      </c>
      <c r="V367" s="10">
        <f>+SUM(Tabla1[[#This Row],[Neto]:[Impuestos Internos / Otros Tributos]])</f>
        <v>398900</v>
      </c>
      <c r="W367" s="72">
        <f>+Tabla1[[#This Row],[Total]]</f>
        <v>398900</v>
      </c>
      <c r="X367" s="72">
        <v>0</v>
      </c>
      <c r="Y367" s="73" t="s">
        <v>324</v>
      </c>
      <c r="Z367" s="73"/>
      <c r="AA367" s="114">
        <v>45583</v>
      </c>
      <c r="AB367" s="74">
        <f>+Tabla1[[#This Row],[Total a Pagar]]</f>
        <v>398900</v>
      </c>
      <c r="AC367" s="71"/>
      <c r="AD367" s="71"/>
      <c r="AE367" s="71"/>
      <c r="AF367" s="71"/>
      <c r="AG367" s="71"/>
      <c r="AH367" s="72">
        <v>0</v>
      </c>
      <c r="AI367" s="71"/>
      <c r="AJ367" s="188"/>
    </row>
    <row r="368" spans="1:36" hidden="1" x14ac:dyDescent="0.3">
      <c r="A368" s="67" t="s">
        <v>337</v>
      </c>
      <c r="B368" s="68">
        <v>45582</v>
      </c>
      <c r="C368" s="69" t="s">
        <v>26</v>
      </c>
      <c r="D368" s="67" t="s">
        <v>58</v>
      </c>
      <c r="E368" s="70" t="s">
        <v>28</v>
      </c>
      <c r="F368" s="70" t="s">
        <v>191</v>
      </c>
      <c r="G368" s="71" t="s">
        <v>284</v>
      </c>
      <c r="H368" s="71">
        <v>27339701712</v>
      </c>
      <c r="I368" s="71" t="s">
        <v>574</v>
      </c>
      <c r="J368" s="67" t="s">
        <v>381</v>
      </c>
      <c r="K368" s="173">
        <v>1</v>
      </c>
      <c r="L368" s="72">
        <v>714000</v>
      </c>
      <c r="M368" s="72">
        <v>0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f>+SUM(Tabla1[[#This Row],[IVA 21%]:[IVA 27%]])</f>
        <v>0</v>
      </c>
      <c r="V368" s="10">
        <f>+SUM(Tabla1[[#This Row],[Neto]:[Impuestos Internos / Otros Tributos]])</f>
        <v>714000</v>
      </c>
      <c r="W368" s="72">
        <f>+Tabla1[[#This Row],[Total]]</f>
        <v>714000</v>
      </c>
      <c r="X368" s="72">
        <v>0</v>
      </c>
      <c r="Y368" s="10" t="s">
        <v>324</v>
      </c>
      <c r="Z368" s="10"/>
      <c r="AA368" s="114">
        <v>45583</v>
      </c>
      <c r="AB368" s="74">
        <f>+Tabla1[[#This Row],[Total a Pagar]]</f>
        <v>714000</v>
      </c>
      <c r="AC368" s="71"/>
      <c r="AD368" s="71"/>
      <c r="AE368" s="71"/>
      <c r="AF368" s="71"/>
      <c r="AG368" s="71"/>
      <c r="AH368" s="72">
        <v>0</v>
      </c>
      <c r="AI368" s="71"/>
      <c r="AJ368" s="188"/>
    </row>
    <row r="369" spans="1:36" hidden="1" x14ac:dyDescent="0.3">
      <c r="A369" s="67" t="s">
        <v>337</v>
      </c>
      <c r="B369" s="68">
        <v>45582</v>
      </c>
      <c r="C369" s="69" t="s">
        <v>26</v>
      </c>
      <c r="D369" s="67" t="s">
        <v>27</v>
      </c>
      <c r="E369" s="70" t="s">
        <v>28</v>
      </c>
      <c r="F369" s="70" t="s">
        <v>432</v>
      </c>
      <c r="G369" s="71" t="s">
        <v>222</v>
      </c>
      <c r="H369" s="71">
        <v>23339846324</v>
      </c>
      <c r="I369" s="71" t="s">
        <v>561</v>
      </c>
      <c r="J369" s="67" t="s">
        <v>381</v>
      </c>
      <c r="K369" s="173">
        <v>1</v>
      </c>
      <c r="L369" s="72">
        <v>168000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f>+SUM(Tabla1[[#This Row],[IVA 21%]:[IVA 27%]])</f>
        <v>0</v>
      </c>
      <c r="V369" s="10">
        <f>+SUM(Tabla1[[#This Row],[Neto]:[Impuestos Internos / Otros Tributos]])</f>
        <v>168000</v>
      </c>
      <c r="W369" s="72">
        <f>+Tabla1[[#This Row],[Total]]</f>
        <v>168000</v>
      </c>
      <c r="X369" s="72">
        <v>0</v>
      </c>
      <c r="Y369" s="10" t="s">
        <v>324</v>
      </c>
      <c r="Z369" s="10"/>
      <c r="AA369" s="114">
        <v>45583</v>
      </c>
      <c r="AB369" s="74">
        <f>+Tabla1[[#This Row],[Total a Pagar]]</f>
        <v>168000</v>
      </c>
      <c r="AC369" s="71"/>
      <c r="AD369" s="71"/>
      <c r="AE369" s="71"/>
      <c r="AF369" s="71"/>
      <c r="AG369" s="71"/>
      <c r="AH369" s="72">
        <v>0</v>
      </c>
      <c r="AI369" s="71"/>
      <c r="AJ369" s="188"/>
    </row>
    <row r="370" spans="1:36" hidden="1" x14ac:dyDescent="0.3">
      <c r="A370" s="67" t="s">
        <v>337</v>
      </c>
      <c r="B370" s="68">
        <v>45582</v>
      </c>
      <c r="C370" s="69" t="s">
        <v>26</v>
      </c>
      <c r="D370" s="67" t="s">
        <v>27</v>
      </c>
      <c r="E370" s="70" t="s">
        <v>28</v>
      </c>
      <c r="F370" s="70" t="s">
        <v>577</v>
      </c>
      <c r="G370" s="71" t="s">
        <v>44</v>
      </c>
      <c r="H370" s="71">
        <v>27346203647</v>
      </c>
      <c r="I370" s="4" t="s">
        <v>576</v>
      </c>
      <c r="J370" s="67" t="s">
        <v>381</v>
      </c>
      <c r="K370" s="173">
        <v>1</v>
      </c>
      <c r="L370" s="72">
        <v>118400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f>+SUM(Tabla1[[#This Row],[IVA 21%]:[IVA 27%]])</f>
        <v>0</v>
      </c>
      <c r="V370" s="10">
        <f>+SUM(Tabla1[[#This Row],[Neto]:[Impuestos Internos / Otros Tributos]])</f>
        <v>118400</v>
      </c>
      <c r="W370" s="72">
        <f>+Tabla1[[#This Row],[Total]]</f>
        <v>118400</v>
      </c>
      <c r="X370" s="72">
        <v>0</v>
      </c>
      <c r="Y370" s="10" t="s">
        <v>324</v>
      </c>
      <c r="Z370" s="10"/>
      <c r="AA370" s="114">
        <v>45583</v>
      </c>
      <c r="AB370" s="72">
        <v>0</v>
      </c>
      <c r="AC370" s="71"/>
      <c r="AD370" s="71"/>
      <c r="AE370" s="71"/>
      <c r="AF370" s="71"/>
      <c r="AG370" s="71"/>
      <c r="AH370" s="72">
        <v>0</v>
      </c>
      <c r="AI370" s="71"/>
      <c r="AJ370" s="188"/>
    </row>
    <row r="371" spans="1:36" hidden="1" x14ac:dyDescent="0.3">
      <c r="A371" s="67" t="s">
        <v>337</v>
      </c>
      <c r="B371" s="68">
        <v>45582</v>
      </c>
      <c r="C371" s="69" t="s">
        <v>26</v>
      </c>
      <c r="D371" s="67" t="s">
        <v>27</v>
      </c>
      <c r="E371" s="70" t="s">
        <v>28</v>
      </c>
      <c r="F371" s="70" t="s">
        <v>579</v>
      </c>
      <c r="G371" s="71" t="s">
        <v>521</v>
      </c>
      <c r="H371" s="71">
        <v>20399039569</v>
      </c>
      <c r="I371" s="71" t="s">
        <v>523</v>
      </c>
      <c r="J371" s="67" t="s">
        <v>381</v>
      </c>
      <c r="K371" s="173">
        <v>1</v>
      </c>
      <c r="L371" s="72">
        <v>201600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f>+SUM(Tabla1[[#This Row],[IVA 21%]:[IVA 27%]])</f>
        <v>0</v>
      </c>
      <c r="V371" s="10">
        <f>+SUM(Tabla1[[#This Row],[Neto]:[Impuestos Internos / Otros Tributos]])</f>
        <v>201600</v>
      </c>
      <c r="W371" s="72">
        <f>+Tabla1[[#This Row],[Total]]</f>
        <v>201600</v>
      </c>
      <c r="X371" s="72">
        <v>0</v>
      </c>
      <c r="Y371" s="73" t="s">
        <v>324</v>
      </c>
      <c r="Z371" s="73"/>
      <c r="AA371" s="114">
        <v>45583</v>
      </c>
      <c r="AB371" s="74">
        <f>+Tabla1[[#This Row],[Total a Pagar]]</f>
        <v>201600</v>
      </c>
      <c r="AC371" s="71"/>
      <c r="AD371" s="71"/>
      <c r="AE371" s="71"/>
      <c r="AF371" s="71"/>
      <c r="AG371" s="71"/>
      <c r="AH371" s="72">
        <v>0</v>
      </c>
      <c r="AI371" s="71"/>
      <c r="AJ371" s="188"/>
    </row>
    <row r="372" spans="1:36" hidden="1" x14ac:dyDescent="0.3">
      <c r="A372" s="8" t="s">
        <v>337</v>
      </c>
      <c r="B372" s="53">
        <v>45582</v>
      </c>
      <c r="C372" s="12" t="s">
        <v>26</v>
      </c>
      <c r="D372" s="8" t="s">
        <v>58</v>
      </c>
      <c r="E372" s="9" t="s">
        <v>32</v>
      </c>
      <c r="F372" s="9" t="s">
        <v>668</v>
      </c>
      <c r="G372" s="4" t="s">
        <v>273</v>
      </c>
      <c r="H372" s="4">
        <v>30710657315</v>
      </c>
      <c r="I372" s="4" t="s">
        <v>142</v>
      </c>
      <c r="J372" s="8" t="s">
        <v>381</v>
      </c>
      <c r="K372" s="173">
        <v>1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360000</v>
      </c>
      <c r="R372" s="10">
        <v>0</v>
      </c>
      <c r="S372" s="10">
        <v>0</v>
      </c>
      <c r="T372" s="10">
        <v>0</v>
      </c>
      <c r="U372" s="10">
        <f>+SUM(Tabla1[[#This Row],[IVA 21%]:[IVA 27%]])</f>
        <v>0</v>
      </c>
      <c r="V372" s="10">
        <f>+SUM(Tabla1[[#This Row],[Neto]:[Impuestos Internos / Otros Tributos]])</f>
        <v>360000</v>
      </c>
      <c r="W372" s="10">
        <f>+Tabla1[[#This Row],[Total]]-Tabla1[[#This Row],[SICORE]]</f>
        <v>357280</v>
      </c>
      <c r="X372" s="10">
        <v>2720</v>
      </c>
      <c r="Y372" s="14" t="s">
        <v>324</v>
      </c>
      <c r="Z372" s="248" t="s">
        <v>982</v>
      </c>
      <c r="AA372" s="109">
        <v>45632</v>
      </c>
      <c r="AB372" s="10">
        <f>+W194+Tabla1[[#This Row],[Total a Pagar]]</f>
        <v>428685.64529999997</v>
      </c>
      <c r="AJ372" s="188"/>
    </row>
    <row r="373" spans="1:36" hidden="1" x14ac:dyDescent="0.3">
      <c r="A373" s="95" t="s">
        <v>337</v>
      </c>
      <c r="B373" s="96">
        <v>45582</v>
      </c>
      <c r="C373" s="97" t="s">
        <v>26</v>
      </c>
      <c r="D373" s="95" t="s">
        <v>58</v>
      </c>
      <c r="E373" s="98" t="s">
        <v>37</v>
      </c>
      <c r="F373" s="98" t="s">
        <v>706</v>
      </c>
      <c r="G373" s="99" t="s">
        <v>131</v>
      </c>
      <c r="H373" s="99">
        <v>30712291237</v>
      </c>
      <c r="I373" s="99" t="s">
        <v>132</v>
      </c>
      <c r="J373" s="95" t="s">
        <v>381</v>
      </c>
      <c r="K373" s="173">
        <v>1</v>
      </c>
      <c r="L373" s="100">
        <v>288660</v>
      </c>
      <c r="M373" s="100">
        <f>+Tabla1[[#This Row],[Neto]]*21%</f>
        <v>60618.6</v>
      </c>
      <c r="N373" s="100">
        <v>0</v>
      </c>
      <c r="O373" s="100">
        <v>0</v>
      </c>
      <c r="P373" s="100">
        <v>0</v>
      </c>
      <c r="Q373" s="100">
        <v>0</v>
      </c>
      <c r="R373" s="100">
        <v>0</v>
      </c>
      <c r="S373" s="100">
        <v>0</v>
      </c>
      <c r="T373" s="100">
        <v>0</v>
      </c>
      <c r="U373" s="100">
        <f>+SUM(Tabla1[[#This Row],[IVA 21%]:[IVA 27%]])</f>
        <v>60618.6</v>
      </c>
      <c r="V373" s="10">
        <f>+SUM(Tabla1[[#This Row],[Neto]:[Impuestos Internos / Otros Tributos]])</f>
        <v>349278.6</v>
      </c>
      <c r="W373" s="10">
        <f>+Tabla1[[#This Row],[Total]]</f>
        <v>349278.6</v>
      </c>
      <c r="X373" s="100">
        <v>1293.2</v>
      </c>
      <c r="Y373" s="49" t="s">
        <v>324</v>
      </c>
      <c r="AA373" s="116">
        <v>45623</v>
      </c>
      <c r="AB373" s="100">
        <v>347985.39999999997</v>
      </c>
      <c r="AC373" s="99"/>
      <c r="AD373" s="99"/>
      <c r="AE373" s="99"/>
      <c r="AF373" s="99"/>
      <c r="AG373" s="99"/>
      <c r="AH373" s="100">
        <v>0</v>
      </c>
      <c r="AI373" s="99"/>
      <c r="AJ373" s="188"/>
    </row>
    <row r="374" spans="1:36" hidden="1" x14ac:dyDescent="0.3">
      <c r="A374" s="67" t="s">
        <v>337</v>
      </c>
      <c r="B374" s="68">
        <v>45583</v>
      </c>
      <c r="C374" s="69" t="s">
        <v>26</v>
      </c>
      <c r="D374" s="67" t="s">
        <v>27</v>
      </c>
      <c r="E374" s="70" t="s">
        <v>28</v>
      </c>
      <c r="F374" s="70" t="s">
        <v>568</v>
      </c>
      <c r="G374" s="71" t="s">
        <v>218</v>
      </c>
      <c r="H374" s="71">
        <v>23375110199</v>
      </c>
      <c r="I374" s="71" t="s">
        <v>569</v>
      </c>
      <c r="J374" s="67" t="s">
        <v>381</v>
      </c>
      <c r="K374" s="173">
        <v>1</v>
      </c>
      <c r="L374" s="72">
        <v>230000</v>
      </c>
      <c r="M374" s="72">
        <v>0</v>
      </c>
      <c r="N374" s="72">
        <v>0</v>
      </c>
      <c r="O374" s="72">
        <v>0</v>
      </c>
      <c r="P374" s="72">
        <v>0</v>
      </c>
      <c r="Q374" s="72">
        <v>0</v>
      </c>
      <c r="R374" s="72">
        <v>0</v>
      </c>
      <c r="S374" s="72">
        <v>0</v>
      </c>
      <c r="T374" s="72">
        <v>0</v>
      </c>
      <c r="U374" s="72">
        <f>+SUM(Tabla1[[#This Row],[IVA 21%]:[IVA 27%]])</f>
        <v>0</v>
      </c>
      <c r="V374" s="10">
        <f>+SUM(Tabla1[[#This Row],[Neto]:[Impuestos Internos / Otros Tributos]])</f>
        <v>230000</v>
      </c>
      <c r="W374" s="72">
        <f>+Tabla1[[#This Row],[Total]]</f>
        <v>230000</v>
      </c>
      <c r="X374" s="72">
        <v>0</v>
      </c>
      <c r="Y374" s="73" t="s">
        <v>324</v>
      </c>
      <c r="Z374" s="73"/>
      <c r="AA374" s="114">
        <v>45583</v>
      </c>
      <c r="AB374" s="74">
        <f>+Tabla1[[#This Row],[Total a Pagar]]</f>
        <v>230000</v>
      </c>
      <c r="AC374" s="71"/>
      <c r="AD374" s="71"/>
      <c r="AE374" s="71"/>
      <c r="AF374" s="71"/>
      <c r="AG374" s="71"/>
      <c r="AH374" s="72">
        <v>0</v>
      </c>
      <c r="AI374" s="71"/>
      <c r="AJ374" s="188"/>
    </row>
    <row r="375" spans="1:36" hidden="1" x14ac:dyDescent="0.3">
      <c r="A375" s="67" t="s">
        <v>337</v>
      </c>
      <c r="B375" s="68">
        <v>45583</v>
      </c>
      <c r="C375" s="69" t="s">
        <v>26</v>
      </c>
      <c r="D375" s="67" t="s">
        <v>27</v>
      </c>
      <c r="E375" s="70" t="s">
        <v>37</v>
      </c>
      <c r="F375" s="70" t="s">
        <v>571</v>
      </c>
      <c r="G375" s="71" t="s">
        <v>230</v>
      </c>
      <c r="H375" s="71">
        <v>27432189045</v>
      </c>
      <c r="I375" s="71" t="s">
        <v>572</v>
      </c>
      <c r="J375" s="67" t="s">
        <v>381</v>
      </c>
      <c r="K375" s="173">
        <v>1</v>
      </c>
      <c r="L375" s="72">
        <v>280000</v>
      </c>
      <c r="M375" s="72">
        <v>0</v>
      </c>
      <c r="N375" s="72">
        <v>0</v>
      </c>
      <c r="O375" s="72">
        <v>0</v>
      </c>
      <c r="P375" s="72">
        <v>0</v>
      </c>
      <c r="Q375" s="72">
        <v>0</v>
      </c>
      <c r="R375" s="72">
        <v>0</v>
      </c>
      <c r="S375" s="72">
        <v>0</v>
      </c>
      <c r="T375" s="72">
        <v>0</v>
      </c>
      <c r="U375" s="72">
        <f>+SUM(Tabla1[[#This Row],[IVA 21%]:[IVA 27%]])</f>
        <v>0</v>
      </c>
      <c r="V375" s="10">
        <f>+SUM(Tabla1[[#This Row],[Neto]:[Impuestos Internos / Otros Tributos]])</f>
        <v>280000</v>
      </c>
      <c r="W375" s="72">
        <f>+Tabla1[[#This Row],[Total]]</f>
        <v>280000</v>
      </c>
      <c r="X375" s="72">
        <v>0</v>
      </c>
      <c r="Y375" s="73" t="s">
        <v>324</v>
      </c>
      <c r="Z375" s="73"/>
      <c r="AA375" s="114">
        <v>45583</v>
      </c>
      <c r="AB375" s="74">
        <f>+Tabla1[[#This Row],[Total a Pagar]]</f>
        <v>280000</v>
      </c>
      <c r="AC375" s="71"/>
      <c r="AD375" s="71"/>
      <c r="AE375" s="71"/>
      <c r="AF375" s="71"/>
      <c r="AG375" s="71"/>
      <c r="AH375" s="72">
        <v>0</v>
      </c>
      <c r="AI375" s="71"/>
      <c r="AJ375" s="188"/>
    </row>
    <row r="376" spans="1:36" hidden="1" x14ac:dyDescent="0.3">
      <c r="A376" s="67" t="s">
        <v>337</v>
      </c>
      <c r="B376" s="68">
        <v>45583</v>
      </c>
      <c r="C376" s="69" t="s">
        <v>26</v>
      </c>
      <c r="D376" s="67" t="s">
        <v>27</v>
      </c>
      <c r="E376" s="70" t="s">
        <v>37</v>
      </c>
      <c r="F376" s="70" t="s">
        <v>176</v>
      </c>
      <c r="G376" s="71" t="s">
        <v>580</v>
      </c>
      <c r="H376" s="71">
        <v>27434393774</v>
      </c>
      <c r="I376" s="71" t="s">
        <v>581</v>
      </c>
      <c r="J376" s="67" t="s">
        <v>381</v>
      </c>
      <c r="K376" s="173">
        <v>1</v>
      </c>
      <c r="L376" s="72">
        <v>24000</v>
      </c>
      <c r="M376" s="72">
        <v>0</v>
      </c>
      <c r="N376" s="72">
        <v>0</v>
      </c>
      <c r="O376" s="72">
        <v>0</v>
      </c>
      <c r="P376" s="72">
        <v>0</v>
      </c>
      <c r="Q376" s="72">
        <v>0</v>
      </c>
      <c r="R376" s="72">
        <v>0</v>
      </c>
      <c r="S376" s="72">
        <v>0</v>
      </c>
      <c r="T376" s="72">
        <v>0</v>
      </c>
      <c r="U376" s="72">
        <f>+SUM(Tabla1[[#This Row],[IVA 21%]:[IVA 27%]])</f>
        <v>0</v>
      </c>
      <c r="V376" s="10">
        <f>+SUM(Tabla1[[#This Row],[Neto]:[Impuestos Internos / Otros Tributos]])</f>
        <v>24000</v>
      </c>
      <c r="W376" s="72">
        <f>+Tabla1[[#This Row],[Total]]</f>
        <v>24000</v>
      </c>
      <c r="X376" s="72">
        <v>0</v>
      </c>
      <c r="Y376" s="73" t="s">
        <v>324</v>
      </c>
      <c r="Z376" s="73"/>
      <c r="AA376" s="114">
        <v>45583</v>
      </c>
      <c r="AB376" s="74">
        <f>+Tabla1[[#This Row],[Total a Pagar]]</f>
        <v>24000</v>
      </c>
      <c r="AC376" s="71"/>
      <c r="AD376" s="71"/>
      <c r="AE376" s="71"/>
      <c r="AF376" s="71"/>
      <c r="AG376" s="71"/>
      <c r="AH376" s="72">
        <v>0</v>
      </c>
      <c r="AI376" s="71"/>
      <c r="AJ376" s="188"/>
    </row>
    <row r="377" spans="1:36" x14ac:dyDescent="0.3">
      <c r="A377" s="8" t="s">
        <v>337</v>
      </c>
      <c r="B377" s="53">
        <v>45583</v>
      </c>
      <c r="C377" s="12" t="s">
        <v>26</v>
      </c>
      <c r="D377" s="8" t="s">
        <v>58</v>
      </c>
      <c r="E377" s="9" t="s">
        <v>32</v>
      </c>
      <c r="F377" s="9" t="s">
        <v>592</v>
      </c>
      <c r="G377" s="4" t="s">
        <v>146</v>
      </c>
      <c r="H377" s="4">
        <v>33716385359</v>
      </c>
      <c r="I377" s="4" t="s">
        <v>142</v>
      </c>
      <c r="J377" s="8" t="s">
        <v>381</v>
      </c>
      <c r="K377" s="173">
        <v>1</v>
      </c>
      <c r="L377" s="10">
        <v>280720</v>
      </c>
      <c r="M377" s="10">
        <f>+Tabla1[[#This Row],[Neto]]*21%</f>
        <v>58951.199999999997</v>
      </c>
      <c r="N377" s="10">
        <v>0</v>
      </c>
      <c r="O377" s="10">
        <v>0</v>
      </c>
      <c r="P377" s="10">
        <v>0</v>
      </c>
      <c r="Q377" s="10">
        <v>258000</v>
      </c>
      <c r="R377" s="10">
        <v>0</v>
      </c>
      <c r="S377" s="10">
        <f>+(Tabla1[[#This Row],[Neto]]+Tabla1[[#This Row],[Exento]])*3.6%</f>
        <v>19393.920000000002</v>
      </c>
      <c r="T377" s="10"/>
      <c r="U377" s="10">
        <f>+SUM(Tabla1[[#This Row],[IVA 21%]:[IVA 27%]])</f>
        <v>58951.199999999997</v>
      </c>
      <c r="V377" s="10">
        <f>+SUM(Tabla1[[#This Row],[Neto]:[Impuestos Internos / Otros Tributos]])</f>
        <v>617065.12</v>
      </c>
      <c r="W377" s="10">
        <f>+Tabla1[[#This Row],[Total]]</f>
        <v>617065.12</v>
      </c>
      <c r="X377" s="10"/>
      <c r="Y377" s="10" t="s">
        <v>324</v>
      </c>
      <c r="Z377" s="10"/>
      <c r="AA377" s="107">
        <v>45610</v>
      </c>
      <c r="AJ377" s="4" t="s">
        <v>963</v>
      </c>
    </row>
    <row r="378" spans="1:36" hidden="1" x14ac:dyDescent="0.3">
      <c r="A378" s="8" t="s">
        <v>337</v>
      </c>
      <c r="B378" s="53">
        <v>45583</v>
      </c>
      <c r="C378" s="12" t="s">
        <v>26</v>
      </c>
      <c r="D378" s="8" t="s">
        <v>58</v>
      </c>
      <c r="E378" s="9" t="s">
        <v>674</v>
      </c>
      <c r="F378" s="9" t="s">
        <v>675</v>
      </c>
      <c r="G378" s="4" t="s">
        <v>109</v>
      </c>
      <c r="H378" s="4">
        <v>27172337568</v>
      </c>
      <c r="I378" s="4" t="s">
        <v>96</v>
      </c>
      <c r="J378" s="8" t="s">
        <v>381</v>
      </c>
      <c r="K378" s="173">
        <v>1</v>
      </c>
      <c r="L378" s="10">
        <v>9846.07</v>
      </c>
      <c r="M378" s="10">
        <f>+Tabla1[[#This Row],[Neto]]*21%</f>
        <v>2067.6747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f>+SUM(Tabla1[[#This Row],[IVA 21%]:[IVA 27%]])</f>
        <v>2067.6747</v>
      </c>
      <c r="V378" s="10">
        <f>+SUM(Tabla1[[#This Row],[Neto]:[Impuestos Internos / Otros Tributos]])</f>
        <v>11913.744699999999</v>
      </c>
      <c r="W378" s="10">
        <f>+Tabla1[[#This Row],[Total]]</f>
        <v>11913.744699999999</v>
      </c>
      <c r="X378" s="10">
        <v>0</v>
      </c>
      <c r="Y378" s="49" t="s">
        <v>324</v>
      </c>
      <c r="AA378" s="109">
        <v>45583</v>
      </c>
      <c r="AB378" s="10">
        <v>0</v>
      </c>
      <c r="AH378" s="32">
        <f>+Tabla1[[#This Row],[Total a Pagar]]</f>
        <v>11913.744699999999</v>
      </c>
      <c r="AJ378" s="188"/>
    </row>
    <row r="379" spans="1:36" ht="13.95" hidden="1" customHeight="1" x14ac:dyDescent="0.3">
      <c r="A379" s="8" t="s">
        <v>337</v>
      </c>
      <c r="B379" s="53">
        <v>45583</v>
      </c>
      <c r="C379" s="12" t="s">
        <v>26</v>
      </c>
      <c r="D379" s="8" t="s">
        <v>58</v>
      </c>
      <c r="E379" s="9" t="s">
        <v>64</v>
      </c>
      <c r="F379" s="9" t="s">
        <v>677</v>
      </c>
      <c r="G379" s="4" t="s">
        <v>66</v>
      </c>
      <c r="H379" s="4">
        <v>30673770483</v>
      </c>
      <c r="I379" s="4" t="s">
        <v>62</v>
      </c>
      <c r="J379" s="8" t="s">
        <v>381</v>
      </c>
      <c r="K379" s="173">
        <v>1</v>
      </c>
      <c r="L379" s="10">
        <v>9951.07</v>
      </c>
      <c r="M379" s="10">
        <f>+Tabla1[[#This Row],[Neto]]*21%</f>
        <v>2089.7246999999998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f>+Tabla1[[#This Row],[Neto]]*3.6%</f>
        <v>358.23852000000005</v>
      </c>
      <c r="T379" s="10">
        <v>0</v>
      </c>
      <c r="U379" s="10">
        <f>+SUM(Tabla1[[#This Row],[IVA 21%]:[IVA 27%]])</f>
        <v>2089.7246999999998</v>
      </c>
      <c r="V379" s="10">
        <f>+SUM(Tabla1[[#This Row],[Neto]:[Impuestos Internos / Otros Tributos]])</f>
        <v>12399.033219999999</v>
      </c>
      <c r="W379" s="10">
        <f>+Tabla1[[#This Row],[Total]]</f>
        <v>12399.033219999999</v>
      </c>
      <c r="X379" s="10">
        <v>0</v>
      </c>
      <c r="Y379" s="49" t="s">
        <v>324</v>
      </c>
      <c r="AA379" s="109">
        <v>45583</v>
      </c>
      <c r="AB379" s="10">
        <v>0</v>
      </c>
      <c r="AH379" s="32">
        <f>+Tabla1[[#This Row],[Total a Pagar]]</f>
        <v>12399.033219999999</v>
      </c>
      <c r="AJ379" s="188"/>
    </row>
    <row r="380" spans="1:36" ht="13.95" hidden="1" customHeight="1" x14ac:dyDescent="0.3">
      <c r="A380" s="8" t="s">
        <v>337</v>
      </c>
      <c r="B380" s="53">
        <v>45583</v>
      </c>
      <c r="C380" s="12" t="s">
        <v>26</v>
      </c>
      <c r="D380" s="8" t="s">
        <v>58</v>
      </c>
      <c r="E380" s="9" t="s">
        <v>686</v>
      </c>
      <c r="F380" s="9" t="s">
        <v>685</v>
      </c>
      <c r="G380" s="4" t="s">
        <v>681</v>
      </c>
      <c r="H380" s="4">
        <v>30711230862</v>
      </c>
      <c r="I380" s="4" t="s">
        <v>62</v>
      </c>
      <c r="J380" s="8" t="s">
        <v>381</v>
      </c>
      <c r="K380" s="173">
        <v>1</v>
      </c>
      <c r="L380" s="82">
        <v>19005.2</v>
      </c>
      <c r="M380" s="82">
        <f>+Tabla1[[#This Row],[Neto]]*21%</f>
        <v>3991.0920000000001</v>
      </c>
      <c r="N380" s="82">
        <v>0</v>
      </c>
      <c r="O380" s="82">
        <v>0</v>
      </c>
      <c r="P380" s="82">
        <v>0</v>
      </c>
      <c r="Q380" s="82">
        <v>0</v>
      </c>
      <c r="R380" s="82">
        <v>0</v>
      </c>
      <c r="S380" s="82">
        <f>+Tabla1[[#This Row],[Neto]]*3.6%</f>
        <v>684.18720000000008</v>
      </c>
      <c r="T380" s="82">
        <v>0</v>
      </c>
      <c r="U380" s="82">
        <f>+SUM(Tabla1[[#This Row],[IVA 21%]:[IVA 27%]])</f>
        <v>3991.0920000000001</v>
      </c>
      <c r="V380" s="10">
        <f>+SUM(Tabla1[[#This Row],[Neto]:[Impuestos Internos / Otros Tributos]])</f>
        <v>23680.479200000002</v>
      </c>
      <c r="W380" s="10">
        <f>+Tabla1[[#This Row],[Total]]</f>
        <v>23680.479200000002</v>
      </c>
      <c r="X380" s="82">
        <v>0</v>
      </c>
      <c r="Y380" s="83" t="s">
        <v>324</v>
      </c>
      <c r="Z380" s="83"/>
      <c r="AA380" s="108">
        <v>45583</v>
      </c>
      <c r="AB380" s="82">
        <v>0</v>
      </c>
      <c r="AC380" s="81"/>
      <c r="AD380" s="81"/>
      <c r="AE380" s="81"/>
      <c r="AF380" s="81"/>
      <c r="AG380" s="81"/>
      <c r="AH380" s="84">
        <f>+Tabla1[[#This Row],[Total a Pagar]]</f>
        <v>23680.479200000002</v>
      </c>
      <c r="AI380" s="81"/>
      <c r="AJ380" s="188"/>
    </row>
    <row r="381" spans="1:36" ht="13.95" hidden="1" customHeight="1" x14ac:dyDescent="0.3">
      <c r="A381" s="8" t="s">
        <v>337</v>
      </c>
      <c r="B381" s="53">
        <v>45583</v>
      </c>
      <c r="C381" s="12" t="s">
        <v>26</v>
      </c>
      <c r="D381" s="8" t="s">
        <v>70</v>
      </c>
      <c r="E381" s="9" t="s">
        <v>716</v>
      </c>
      <c r="F381" s="9" t="s">
        <v>745</v>
      </c>
      <c r="G381" s="4" t="s">
        <v>746</v>
      </c>
      <c r="H381" s="4">
        <v>20311306309</v>
      </c>
      <c r="I381" s="4" t="s">
        <v>747</v>
      </c>
      <c r="J381" s="8" t="s">
        <v>381</v>
      </c>
      <c r="K381" s="173">
        <v>1</v>
      </c>
      <c r="L381" s="10">
        <v>1100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f>+SUM(Tabla1[[#This Row],[IVA 21%]:[IVA 27%]])</f>
        <v>0</v>
      </c>
      <c r="V381" s="10">
        <f>+SUM(Tabla1[[#This Row],[Neto]:[Impuestos Internos / Otros Tributos]])</f>
        <v>1100</v>
      </c>
      <c r="W381" s="10">
        <f>+Tabla1[[#This Row],[Total]]</f>
        <v>1100</v>
      </c>
      <c r="X381" s="10">
        <v>0</v>
      </c>
      <c r="Y381" s="49" t="s">
        <v>324</v>
      </c>
      <c r="AA381" s="109">
        <v>45583</v>
      </c>
      <c r="AB381" s="10">
        <v>0</v>
      </c>
      <c r="AH381" s="32">
        <f>+Tabla1[[#This Row],[Total a Pagar]]</f>
        <v>1100</v>
      </c>
      <c r="AJ381" s="188"/>
    </row>
    <row r="382" spans="1:36" ht="13.95" hidden="1" customHeight="1" x14ac:dyDescent="0.3">
      <c r="A382" s="8" t="s">
        <v>337</v>
      </c>
      <c r="B382" s="53">
        <v>45583</v>
      </c>
      <c r="C382" s="12" t="s">
        <v>26</v>
      </c>
      <c r="D382" s="8" t="s">
        <v>70</v>
      </c>
      <c r="E382" s="9" t="s">
        <v>716</v>
      </c>
      <c r="F382" s="9" t="s">
        <v>748</v>
      </c>
      <c r="G382" s="4" t="s">
        <v>746</v>
      </c>
      <c r="H382" s="4">
        <v>20311306309</v>
      </c>
      <c r="I382" s="4" t="s">
        <v>747</v>
      </c>
      <c r="J382" s="8" t="s">
        <v>381</v>
      </c>
      <c r="K382" s="173">
        <v>1</v>
      </c>
      <c r="L382" s="10">
        <v>3800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f>+SUM(Tabla1[[#This Row],[IVA 21%]:[IVA 27%]])</f>
        <v>0</v>
      </c>
      <c r="V382" s="10">
        <f>+SUM(Tabla1[[#This Row],[Neto]:[Impuestos Internos / Otros Tributos]])</f>
        <v>3800</v>
      </c>
      <c r="W382" s="10">
        <f>+Tabla1[[#This Row],[Total]]</f>
        <v>3800</v>
      </c>
      <c r="X382" s="10">
        <v>0</v>
      </c>
      <c r="Y382" s="49" t="s">
        <v>324</v>
      </c>
      <c r="AA382" s="109">
        <v>45583</v>
      </c>
      <c r="AB382" s="10">
        <v>0</v>
      </c>
      <c r="AH382" s="32">
        <f>+Tabla1[[#This Row],[Total a Pagar]]</f>
        <v>3800</v>
      </c>
      <c r="AJ382" s="188"/>
    </row>
    <row r="383" spans="1:36" ht="13.95" hidden="1" customHeight="1" x14ac:dyDescent="0.3">
      <c r="A383" s="8" t="s">
        <v>337</v>
      </c>
      <c r="B383" s="53">
        <v>45586</v>
      </c>
      <c r="C383" s="12" t="s">
        <v>26</v>
      </c>
      <c r="D383" s="8" t="s">
        <v>27</v>
      </c>
      <c r="E383" s="9" t="s">
        <v>37</v>
      </c>
      <c r="F383" s="9" t="s">
        <v>555</v>
      </c>
      <c r="G383" s="4" t="s">
        <v>395</v>
      </c>
      <c r="H383" s="4">
        <v>20286349162</v>
      </c>
      <c r="I383" s="4" t="s">
        <v>396</v>
      </c>
      <c r="J383" s="8" t="s">
        <v>381</v>
      </c>
      <c r="K383" s="173">
        <v>1</v>
      </c>
      <c r="L383" s="10">
        <v>200000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f>+SUM(Tabla1[[#This Row],[IVA 21%]:[IVA 27%]])</f>
        <v>0</v>
      </c>
      <c r="V383" s="10">
        <f>+SUM(Tabla1[[#This Row],[Neto]:[Impuestos Internos / Otros Tributos]])</f>
        <v>200000</v>
      </c>
      <c r="W383" s="10">
        <f>+Tabla1[[#This Row],[Total]]</f>
        <v>200000</v>
      </c>
      <c r="X383" s="10">
        <v>0</v>
      </c>
      <c r="Y383" s="10" t="s">
        <v>324</v>
      </c>
      <c r="Z383" s="10"/>
      <c r="AA383" s="109">
        <v>45587</v>
      </c>
      <c r="AB383" s="32">
        <f>+Tabla1[[#This Row],[Total a Pagar]]</f>
        <v>200000</v>
      </c>
      <c r="AH383" s="10">
        <v>0</v>
      </c>
      <c r="AJ383" s="188"/>
    </row>
    <row r="384" spans="1:36" ht="13.95" hidden="1" customHeight="1" x14ac:dyDescent="0.3">
      <c r="A384" s="8" t="s">
        <v>337</v>
      </c>
      <c r="B384" s="53">
        <v>45586</v>
      </c>
      <c r="C384" s="12" t="s">
        <v>26</v>
      </c>
      <c r="D384" s="8" t="s">
        <v>58</v>
      </c>
      <c r="E384" s="9" t="s">
        <v>28</v>
      </c>
      <c r="F384" s="9" t="s">
        <v>47</v>
      </c>
      <c r="G384" s="4" t="s">
        <v>483</v>
      </c>
      <c r="H384" s="4">
        <v>33718560999</v>
      </c>
      <c r="I384" s="4" t="s">
        <v>557</v>
      </c>
      <c r="J384" s="8" t="s">
        <v>381</v>
      </c>
      <c r="K384" s="173">
        <v>1</v>
      </c>
      <c r="L384" s="10">
        <v>192971.67</v>
      </c>
      <c r="M384" s="10">
        <f>+Tabla1[[#This Row],[Neto]]*21%</f>
        <v>40524.0507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f>+SUM(Tabla1[[#This Row],[IVA 21%]:[IVA 27%]])</f>
        <v>40524.0507</v>
      </c>
      <c r="V384" s="10">
        <f>+SUM(Tabla1[[#This Row],[Neto]:[Impuestos Internos / Otros Tributos]])</f>
        <v>233495.72070000001</v>
      </c>
      <c r="W384" s="10">
        <f>+Tabla1[[#This Row],[Total]]</f>
        <v>233495.72070000001</v>
      </c>
      <c r="X384" s="10">
        <v>0</v>
      </c>
      <c r="Y384" s="51" t="s">
        <v>324</v>
      </c>
      <c r="Z384" s="51"/>
      <c r="AA384" s="109">
        <v>45587</v>
      </c>
      <c r="AB384" s="32">
        <f>+Tabla1[[#This Row],[Total a Pagar]]</f>
        <v>233495.72070000001</v>
      </c>
      <c r="AH384" s="10">
        <v>0</v>
      </c>
      <c r="AJ384" s="188"/>
    </row>
    <row r="385" spans="1:36" ht="13.95" hidden="1" customHeight="1" x14ac:dyDescent="0.3">
      <c r="A385" s="8" t="s">
        <v>337</v>
      </c>
      <c r="B385" s="53">
        <v>45586</v>
      </c>
      <c r="C385" s="12" t="s">
        <v>26</v>
      </c>
      <c r="D385" s="8" t="s">
        <v>27</v>
      </c>
      <c r="E385" s="9" t="s">
        <v>37</v>
      </c>
      <c r="F385" s="9" t="s">
        <v>598</v>
      </c>
      <c r="G385" s="4" t="s">
        <v>234</v>
      </c>
      <c r="H385" s="4">
        <v>20271839503</v>
      </c>
      <c r="I385" s="4" t="s">
        <v>599</v>
      </c>
      <c r="J385" s="8" t="s">
        <v>381</v>
      </c>
      <c r="K385" s="173">
        <v>1</v>
      </c>
      <c r="L385" s="10">
        <v>337463.24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f>+SUM(Tabla1[[#This Row],[IVA 21%]:[IVA 27%]])</f>
        <v>0</v>
      </c>
      <c r="V385" s="10">
        <f>+SUM(Tabla1[[#This Row],[Neto]:[Impuestos Internos / Otros Tributos]])</f>
        <v>337463.24</v>
      </c>
      <c r="W385" s="10">
        <f>+Tabla1[[#This Row],[Total]]</f>
        <v>337463.24</v>
      </c>
      <c r="X385" s="10">
        <v>0</v>
      </c>
      <c r="Y385" s="49" t="s">
        <v>324</v>
      </c>
      <c r="AA385" s="109">
        <v>45587</v>
      </c>
      <c r="AB385" s="32">
        <f>+Tabla1[[#This Row],[Total a Pagar]]</f>
        <v>337463.24</v>
      </c>
      <c r="AH385" s="10">
        <v>0</v>
      </c>
      <c r="AJ385" s="188"/>
    </row>
    <row r="386" spans="1:36" hidden="1" x14ac:dyDescent="0.3">
      <c r="A386" s="8" t="s">
        <v>337</v>
      </c>
      <c r="B386" s="53">
        <v>45586</v>
      </c>
      <c r="C386" s="12" t="s">
        <v>26</v>
      </c>
      <c r="D386" s="8" t="s">
        <v>27</v>
      </c>
      <c r="E386" s="9" t="s">
        <v>37</v>
      </c>
      <c r="F386" s="9" t="s">
        <v>169</v>
      </c>
      <c r="G386" s="4" t="s">
        <v>607</v>
      </c>
      <c r="H386" s="4">
        <v>20350274716</v>
      </c>
      <c r="I386" s="4" t="s">
        <v>608</v>
      </c>
      <c r="J386" s="8" t="s">
        <v>381</v>
      </c>
      <c r="K386" s="173">
        <v>1</v>
      </c>
      <c r="L386" s="10">
        <v>595000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f>+SUM(Tabla1[[#This Row],[IVA 21%]:[IVA 27%]])</f>
        <v>0</v>
      </c>
      <c r="V386" s="10">
        <f>+SUM(Tabla1[[#This Row],[Neto]:[Impuestos Internos / Otros Tributos]])</f>
        <v>595000</v>
      </c>
      <c r="W386" s="10">
        <f>+Tabla1[[#This Row],[Total]]</f>
        <v>595000</v>
      </c>
      <c r="X386" s="10">
        <v>0</v>
      </c>
      <c r="Y386" s="49" t="s">
        <v>324</v>
      </c>
      <c r="AA386" s="109">
        <v>45588</v>
      </c>
      <c r="AB386" s="32">
        <f>+Tabla1[[#This Row],[Total a Pagar]]</f>
        <v>595000</v>
      </c>
      <c r="AH386" s="10">
        <v>0</v>
      </c>
      <c r="AJ386" s="188"/>
    </row>
    <row r="387" spans="1:36" hidden="1" x14ac:dyDescent="0.3">
      <c r="A387" s="78" t="s">
        <v>337</v>
      </c>
      <c r="B387" s="79">
        <v>45586</v>
      </c>
      <c r="C387" s="80" t="s">
        <v>26</v>
      </c>
      <c r="D387" s="8" t="s">
        <v>58</v>
      </c>
      <c r="E387" s="9" t="s">
        <v>32</v>
      </c>
      <c r="F387" s="9" t="s">
        <v>625</v>
      </c>
      <c r="G387" s="81" t="s">
        <v>352</v>
      </c>
      <c r="H387" s="4">
        <v>30709932361</v>
      </c>
      <c r="I387" s="4" t="s">
        <v>351</v>
      </c>
      <c r="J387" s="8" t="s">
        <v>381</v>
      </c>
      <c r="K387" s="173">
        <v>1</v>
      </c>
      <c r="L387" s="82">
        <v>0</v>
      </c>
      <c r="M387" s="82">
        <v>0</v>
      </c>
      <c r="N387" s="82">
        <v>0</v>
      </c>
      <c r="O387" s="82">
        <v>0</v>
      </c>
      <c r="P387" s="82">
        <v>0</v>
      </c>
      <c r="Q387" s="82">
        <v>1189976.6000000001</v>
      </c>
      <c r="R387" s="82">
        <v>0</v>
      </c>
      <c r="S387" s="82">
        <v>0</v>
      </c>
      <c r="T387" s="82">
        <v>0</v>
      </c>
      <c r="U387" s="82">
        <f>+SUM(Tabla1[[#This Row],[IVA 21%]:[IVA 27%]])</f>
        <v>0</v>
      </c>
      <c r="V387" s="10">
        <f>+SUM(Tabla1[[#This Row],[Neto]:[Impuestos Internos / Otros Tributos]])</f>
        <v>1189976.6000000001</v>
      </c>
      <c r="W387" s="10">
        <f>+Tabla1[[#This Row],[Total]]</f>
        <v>1189976.6000000001</v>
      </c>
      <c r="X387" s="82">
        <v>0</v>
      </c>
      <c r="Y387" s="83" t="s">
        <v>325</v>
      </c>
      <c r="Z387" s="83"/>
      <c r="AA387" s="108"/>
      <c r="AB387" s="82"/>
      <c r="AC387" s="81"/>
      <c r="AD387" s="81"/>
      <c r="AE387" s="81"/>
      <c r="AF387" s="81"/>
      <c r="AG387" s="81"/>
      <c r="AH387" s="82"/>
      <c r="AI387" s="81"/>
      <c r="AJ387" s="188"/>
    </row>
    <row r="388" spans="1:36" ht="13.95" hidden="1" customHeight="1" x14ac:dyDescent="0.3">
      <c r="A388" s="78" t="s">
        <v>337</v>
      </c>
      <c r="B388" s="79">
        <v>45586</v>
      </c>
      <c r="C388" s="80" t="s">
        <v>26</v>
      </c>
      <c r="D388" s="78" t="s">
        <v>58</v>
      </c>
      <c r="E388" s="9" t="s">
        <v>37</v>
      </c>
      <c r="F388" s="9" t="s">
        <v>653</v>
      </c>
      <c r="G388" s="81" t="s">
        <v>654</v>
      </c>
      <c r="H388" s="81">
        <v>33710956109</v>
      </c>
      <c r="I388" s="81" t="s">
        <v>655</v>
      </c>
      <c r="J388" s="78" t="s">
        <v>381</v>
      </c>
      <c r="K388" s="173">
        <v>1</v>
      </c>
      <c r="L388" s="82">
        <v>3583400</v>
      </c>
      <c r="M388" s="82">
        <f>+Tabla1[[#This Row],[Neto]]*21%</f>
        <v>752514</v>
      </c>
      <c r="N388" s="82">
        <v>0</v>
      </c>
      <c r="O388" s="82">
        <v>0</v>
      </c>
      <c r="P388" s="82">
        <v>0</v>
      </c>
      <c r="Q388" s="82">
        <v>0</v>
      </c>
      <c r="R388" s="82">
        <v>0</v>
      </c>
      <c r="S388" s="82">
        <v>0</v>
      </c>
      <c r="T388" s="82">
        <v>0</v>
      </c>
      <c r="U388" s="82">
        <f>+SUM(Tabla1[[#This Row],[IVA 21%]:[IVA 27%]])</f>
        <v>752514</v>
      </c>
      <c r="V388" s="10">
        <f>+SUM(Tabla1[[#This Row],[Neto]:[Impuestos Internos / Otros Tributos]])</f>
        <v>4335914</v>
      </c>
      <c r="W388" s="10">
        <f>+Tabla1[[#This Row],[Total]]</f>
        <v>4335914</v>
      </c>
      <c r="X388" s="82">
        <f>+(Tabla1[[#This Row],[Neto]]-67170)*2%</f>
        <v>70324.600000000006</v>
      </c>
      <c r="Y388" s="49" t="s">
        <v>324</v>
      </c>
      <c r="AA388" s="108">
        <v>45607</v>
      </c>
      <c r="AB388" s="84">
        <f>+Tabla1[[#This Row],[Total a Pagar]]-Tabla1[[#This Row],[SICORE]]</f>
        <v>4265589.4000000004</v>
      </c>
      <c r="AC388" s="81"/>
      <c r="AD388" s="81"/>
      <c r="AE388" s="81"/>
      <c r="AF388" s="81"/>
      <c r="AG388" s="81"/>
      <c r="AH388" s="82">
        <v>0</v>
      </c>
      <c r="AI388" s="81"/>
      <c r="AJ388" s="188"/>
    </row>
    <row r="389" spans="1:36" hidden="1" x14ac:dyDescent="0.3">
      <c r="A389" s="78" t="s">
        <v>337</v>
      </c>
      <c r="B389" s="79">
        <v>45586</v>
      </c>
      <c r="C389" s="80" t="s">
        <v>26</v>
      </c>
      <c r="D389" s="78" t="s">
        <v>58</v>
      </c>
      <c r="E389" s="85" t="s">
        <v>37</v>
      </c>
      <c r="F389" s="85" t="s">
        <v>656</v>
      </c>
      <c r="G389" s="81" t="s">
        <v>654</v>
      </c>
      <c r="H389" s="81">
        <v>33710956109</v>
      </c>
      <c r="I389" s="81" t="s">
        <v>657</v>
      </c>
      <c r="J389" s="78" t="s">
        <v>381</v>
      </c>
      <c r="K389" s="173">
        <v>1</v>
      </c>
      <c r="L389" s="82">
        <v>4495400</v>
      </c>
      <c r="M389" s="82">
        <f>+Tabla1[[#This Row],[Neto]]*21%</f>
        <v>944034</v>
      </c>
      <c r="N389" s="82">
        <v>0</v>
      </c>
      <c r="O389" s="82">
        <v>0</v>
      </c>
      <c r="P389" s="82">
        <v>0</v>
      </c>
      <c r="Q389" s="82">
        <v>0</v>
      </c>
      <c r="R389" s="82">
        <v>0</v>
      </c>
      <c r="S389" s="82">
        <v>0</v>
      </c>
      <c r="T389" s="82">
        <v>0</v>
      </c>
      <c r="U389" s="82">
        <f>+SUM(Tabla1[[#This Row],[IVA 21%]:[IVA 27%]])</f>
        <v>944034</v>
      </c>
      <c r="V389" s="10">
        <f>+SUM(Tabla1[[#This Row],[Neto]:[Impuestos Internos / Otros Tributos]])</f>
        <v>5439434</v>
      </c>
      <c r="W389" s="10">
        <f>+Tabla1[[#This Row],[Total]]</f>
        <v>5439434</v>
      </c>
      <c r="X389" s="82">
        <f>(Tabla1[[#This Row],[Neto]]-67170)*2%</f>
        <v>88564.6</v>
      </c>
      <c r="Y389" s="49" t="s">
        <v>324</v>
      </c>
      <c r="AA389" s="108">
        <v>44521</v>
      </c>
      <c r="AB389" s="82">
        <f>+Tabla1[[#This Row],[Total a Pagar]]-Tabla1[[#This Row],[SICORE]]</f>
        <v>5350869.4000000004</v>
      </c>
      <c r="AC389" s="81"/>
      <c r="AD389" s="81"/>
      <c r="AE389" s="81"/>
      <c r="AF389" s="81"/>
      <c r="AG389" s="81"/>
      <c r="AH389" s="82"/>
      <c r="AI389" s="81"/>
      <c r="AJ389" s="188"/>
    </row>
    <row r="390" spans="1:36" hidden="1" x14ac:dyDescent="0.3">
      <c r="A390" s="8" t="s">
        <v>337</v>
      </c>
      <c r="B390" s="53">
        <v>45586</v>
      </c>
      <c r="C390" s="12" t="s">
        <v>26</v>
      </c>
      <c r="D390" s="8" t="s">
        <v>58</v>
      </c>
      <c r="E390" s="9" t="s">
        <v>67</v>
      </c>
      <c r="F390" s="9" t="s">
        <v>669</v>
      </c>
      <c r="G390" s="4" t="s">
        <v>670</v>
      </c>
      <c r="H390" s="4">
        <v>23165404289</v>
      </c>
      <c r="I390" s="4" t="s">
        <v>142</v>
      </c>
      <c r="J390" s="8" t="s">
        <v>381</v>
      </c>
      <c r="K390" s="173">
        <v>1</v>
      </c>
      <c r="L390" s="10">
        <v>9824.5</v>
      </c>
      <c r="M390" s="10">
        <f>+Tabla1[[#This Row],[Neto]]*21%</f>
        <v>2063.145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f>+Tabla1[[#This Row],[Neto]]*3.6%</f>
        <v>353.68200000000002</v>
      </c>
      <c r="T390" s="10">
        <v>0</v>
      </c>
      <c r="U390" s="10">
        <f>+SUM(Tabla1[[#This Row],[IVA 21%]:[IVA 27%]])</f>
        <v>2063.145</v>
      </c>
      <c r="V390" s="10">
        <f>+SUM(Tabla1[[#This Row],[Neto]:[Impuestos Internos / Otros Tributos]])</f>
        <v>12241.327000000001</v>
      </c>
      <c r="W390" s="10">
        <f>+Tabla1[[#This Row],[Total]]</f>
        <v>12241.327000000001</v>
      </c>
      <c r="X390" s="10"/>
      <c r="Y390" s="49" t="s">
        <v>325</v>
      </c>
      <c r="AA390" s="109"/>
      <c r="AJ390" s="188"/>
    </row>
    <row r="391" spans="1:36" hidden="1" x14ac:dyDescent="0.3">
      <c r="A391" s="78" t="s">
        <v>337</v>
      </c>
      <c r="B391" s="79">
        <v>45586</v>
      </c>
      <c r="C391" s="80" t="s">
        <v>402</v>
      </c>
      <c r="D391" s="78" t="s">
        <v>70</v>
      </c>
      <c r="E391" s="85" t="s">
        <v>28</v>
      </c>
      <c r="F391" s="85" t="s">
        <v>689</v>
      </c>
      <c r="G391" s="81" t="s">
        <v>690</v>
      </c>
      <c r="H391" s="81">
        <v>20304199483</v>
      </c>
      <c r="I391" s="4" t="s">
        <v>693</v>
      </c>
      <c r="J391" s="78" t="s">
        <v>381</v>
      </c>
      <c r="K391" s="173">
        <v>1</v>
      </c>
      <c r="L391" s="82">
        <v>3400</v>
      </c>
      <c r="M391" s="82">
        <v>0</v>
      </c>
      <c r="N391" s="82">
        <v>0</v>
      </c>
      <c r="O391" s="82">
        <v>0</v>
      </c>
      <c r="P391" s="82">
        <v>0</v>
      </c>
      <c r="Q391" s="82">
        <v>0</v>
      </c>
      <c r="R391" s="82">
        <v>0</v>
      </c>
      <c r="S391" s="82">
        <v>0</v>
      </c>
      <c r="T391" s="82">
        <v>0</v>
      </c>
      <c r="U391" s="82">
        <f>+SUM(Tabla1[[#This Row],[IVA 21%]:[IVA 27%]])</f>
        <v>0</v>
      </c>
      <c r="V391" s="10">
        <f>+SUM(Tabla1[[#This Row],[Neto]:[Impuestos Internos / Otros Tributos]])</f>
        <v>3400</v>
      </c>
      <c r="W391" s="10">
        <f>+Tabla1[[#This Row],[Total]]</f>
        <v>3400</v>
      </c>
      <c r="X391" s="82">
        <v>0</v>
      </c>
      <c r="Y391" s="83" t="s">
        <v>324</v>
      </c>
      <c r="Z391" s="83"/>
      <c r="AA391" s="108">
        <v>45586</v>
      </c>
      <c r="AB391" s="82">
        <v>0</v>
      </c>
      <c r="AC391" s="81"/>
      <c r="AD391" s="81"/>
      <c r="AE391" s="81"/>
      <c r="AF391" s="81"/>
      <c r="AG391" s="81"/>
      <c r="AH391" s="84">
        <f>+Tabla1[[#This Row],[Total a Pagar]]</f>
        <v>3400</v>
      </c>
      <c r="AI391" s="81"/>
      <c r="AJ391" s="188"/>
    </row>
    <row r="392" spans="1:36" hidden="1" x14ac:dyDescent="0.3">
      <c r="A392" s="78" t="s">
        <v>337</v>
      </c>
      <c r="B392" s="79">
        <v>45586</v>
      </c>
      <c r="C392" s="37" t="s">
        <v>434</v>
      </c>
      <c r="D392" s="78" t="s">
        <v>403</v>
      </c>
      <c r="E392" s="85" t="s">
        <v>688</v>
      </c>
      <c r="F392" s="85" t="s">
        <v>689</v>
      </c>
      <c r="G392" s="81" t="s">
        <v>406</v>
      </c>
      <c r="H392" s="81">
        <v>30111111111</v>
      </c>
      <c r="I392" s="81" t="s">
        <v>405</v>
      </c>
      <c r="J392" s="78" t="s">
        <v>381</v>
      </c>
      <c r="K392" s="173">
        <v>1</v>
      </c>
      <c r="L392" s="82">
        <v>3100</v>
      </c>
      <c r="M392" s="82">
        <v>0</v>
      </c>
      <c r="N392" s="82">
        <v>0</v>
      </c>
      <c r="O392" s="82">
        <v>0</v>
      </c>
      <c r="P392" s="82">
        <v>0</v>
      </c>
      <c r="Q392" s="82">
        <v>0</v>
      </c>
      <c r="R392" s="82">
        <v>0</v>
      </c>
      <c r="S392" s="82">
        <v>0</v>
      </c>
      <c r="T392" s="82">
        <v>0</v>
      </c>
      <c r="U392" s="82">
        <f>+SUM(Tabla1[[#This Row],[IVA 21%]:[IVA 27%]])</f>
        <v>0</v>
      </c>
      <c r="V392" s="10">
        <f>+SUM(Tabla1[[#This Row],[Neto]:[Impuestos Internos / Otros Tributos]])</f>
        <v>3100</v>
      </c>
      <c r="W392" s="10">
        <f>+Tabla1[[#This Row],[Total]]</f>
        <v>3100</v>
      </c>
      <c r="X392" s="82">
        <v>0</v>
      </c>
      <c r="Y392" s="83" t="s">
        <v>324</v>
      </c>
      <c r="Z392" s="83"/>
      <c r="AA392" s="108">
        <v>45586</v>
      </c>
      <c r="AB392" s="82">
        <v>0</v>
      </c>
      <c r="AC392" s="81"/>
      <c r="AD392" s="81"/>
      <c r="AE392" s="81"/>
      <c r="AF392" s="81"/>
      <c r="AG392" s="81"/>
      <c r="AH392" s="84">
        <f>+Tabla1[[#This Row],[Total a Pagar]]</f>
        <v>3100</v>
      </c>
      <c r="AI392" s="81"/>
      <c r="AJ392" s="188"/>
    </row>
    <row r="393" spans="1:36" hidden="1" x14ac:dyDescent="0.3">
      <c r="A393" s="8" t="s">
        <v>337</v>
      </c>
      <c r="B393" s="53">
        <v>45587</v>
      </c>
      <c r="C393" s="12" t="s">
        <v>26</v>
      </c>
      <c r="D393" s="8" t="s">
        <v>58</v>
      </c>
      <c r="E393" s="9" t="s">
        <v>74</v>
      </c>
      <c r="F393" s="9" t="s">
        <v>600</v>
      </c>
      <c r="G393" s="4" t="s">
        <v>601</v>
      </c>
      <c r="H393" s="4">
        <v>30592615661</v>
      </c>
      <c r="I393" s="4" t="s">
        <v>606</v>
      </c>
      <c r="J393" s="8" t="s">
        <v>381</v>
      </c>
      <c r="K393" s="173">
        <v>1</v>
      </c>
      <c r="L393" s="10">
        <v>732099.19</v>
      </c>
      <c r="M393" s="10">
        <f>+Tabla1[[#This Row],[Neto]]*21%</f>
        <v>153740.82989999998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f>+Tabla1[[#This Row],[Neto]]*1.8%</f>
        <v>13177.78542</v>
      </c>
      <c r="U393" s="10">
        <f>+SUM(Tabla1[[#This Row],[IVA 21%]:[IVA 27%]])</f>
        <v>153740.82989999998</v>
      </c>
      <c r="V393" s="10">
        <f>+SUM(Tabla1[[#This Row],[Neto]:[Impuestos Internos / Otros Tributos]])</f>
        <v>899017.80531999993</v>
      </c>
      <c r="W393" s="10">
        <f>+Tabla1[[#This Row],[Total]]</f>
        <v>899017.80531999993</v>
      </c>
      <c r="X393" s="10">
        <v>95123.46</v>
      </c>
      <c r="Y393" s="49" t="s">
        <v>324</v>
      </c>
      <c r="AA393" s="109">
        <v>45587</v>
      </c>
      <c r="AB393" s="32">
        <f>+Tabla1[[#This Row],[Total a Pagar]]-Tabla1[[#This Row],[SICORE]]</f>
        <v>803894.34531999996</v>
      </c>
      <c r="AH393" s="10">
        <v>0</v>
      </c>
      <c r="AJ393" s="188"/>
    </row>
    <row r="394" spans="1:36" ht="13.95" hidden="1" customHeight="1" x14ac:dyDescent="0.3">
      <c r="A394" s="8" t="s">
        <v>337</v>
      </c>
      <c r="B394" s="53">
        <v>45587</v>
      </c>
      <c r="C394" s="12" t="s">
        <v>26</v>
      </c>
      <c r="D394" s="8" t="s">
        <v>58</v>
      </c>
      <c r="E394" s="9" t="s">
        <v>74</v>
      </c>
      <c r="F394" s="9" t="s">
        <v>602</v>
      </c>
      <c r="G394" s="4" t="s">
        <v>601</v>
      </c>
      <c r="H394" s="4">
        <v>30592615661</v>
      </c>
      <c r="I394" s="4" t="s">
        <v>604</v>
      </c>
      <c r="J394" s="8" t="s">
        <v>381</v>
      </c>
      <c r="K394" s="173">
        <v>1</v>
      </c>
      <c r="L394" s="10">
        <v>1691243.74</v>
      </c>
      <c r="M394" s="10">
        <f>+Tabla1[[#This Row],[Neto]]*21%</f>
        <v>355161.18539999996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f>+Tabla1[[#This Row],[Neto]]*1.8%</f>
        <v>30442.387320000002</v>
      </c>
      <c r="U394" s="10">
        <f>+SUM(Tabla1[[#This Row],[IVA 21%]:[IVA 27%]])</f>
        <v>355161.18539999996</v>
      </c>
      <c r="V394" s="10">
        <f>+SUM(Tabla1[[#This Row],[Neto]:[Impuestos Internos / Otros Tributos]])</f>
        <v>2076847.31272</v>
      </c>
      <c r="W394" s="10">
        <f>+Tabla1[[#This Row],[Total]]</f>
        <v>2076847.31272</v>
      </c>
      <c r="X394" s="10">
        <v>0</v>
      </c>
      <c r="Y394" s="49" t="s">
        <v>324</v>
      </c>
      <c r="AA394" s="109">
        <v>45587</v>
      </c>
      <c r="AB394" s="32">
        <f>+Tabla1[[#This Row],[Total a Pagar]]-Tabla1[[#This Row],[SICORE]]</f>
        <v>2076847.31272</v>
      </c>
      <c r="AH394" s="10">
        <v>0</v>
      </c>
      <c r="AJ394" s="188"/>
    </row>
    <row r="395" spans="1:36" hidden="1" x14ac:dyDescent="0.3">
      <c r="A395" s="8" t="s">
        <v>337</v>
      </c>
      <c r="B395" s="53">
        <v>45587</v>
      </c>
      <c r="C395" s="12" t="s">
        <v>26</v>
      </c>
      <c r="D395" s="8" t="s">
        <v>58</v>
      </c>
      <c r="E395" s="9" t="s">
        <v>74</v>
      </c>
      <c r="F395" s="9" t="s">
        <v>603</v>
      </c>
      <c r="G395" s="4" t="s">
        <v>601</v>
      </c>
      <c r="H395" s="4">
        <v>30592615661</v>
      </c>
      <c r="I395" s="4" t="s">
        <v>605</v>
      </c>
      <c r="J395" s="8" t="s">
        <v>381</v>
      </c>
      <c r="K395" s="173">
        <v>1</v>
      </c>
      <c r="L395" s="10">
        <v>2400000</v>
      </c>
      <c r="M395" s="10">
        <f>+Tabla1[[#This Row],[Neto]]*21%</f>
        <v>504000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f>+Tabla1[[#This Row],[Neto]]*1.8%</f>
        <v>43200.000000000007</v>
      </c>
      <c r="U395" s="10">
        <f>+SUM(Tabla1[[#This Row],[IVA 21%]:[IVA 27%]])</f>
        <v>504000</v>
      </c>
      <c r="V395" s="10">
        <f>+SUM(Tabla1[[#This Row],[Neto]:[Impuestos Internos / Otros Tributos]])</f>
        <v>2947200</v>
      </c>
      <c r="W395" s="10">
        <f>+Tabla1[[#This Row],[Total]]</f>
        <v>2947200</v>
      </c>
      <c r="X395" s="10">
        <v>0</v>
      </c>
      <c r="Y395" s="49" t="s">
        <v>324</v>
      </c>
      <c r="AA395" s="109">
        <v>45587</v>
      </c>
      <c r="AB395" s="32">
        <f>+Tabla1[[#This Row],[Total a Pagar]]-Tabla1[[#This Row],[SICORE]]</f>
        <v>2947200</v>
      </c>
      <c r="AH395" s="10">
        <v>0</v>
      </c>
      <c r="AJ395" s="188"/>
    </row>
    <row r="396" spans="1:36" x14ac:dyDescent="0.3">
      <c r="A396" s="8" t="s">
        <v>337</v>
      </c>
      <c r="B396" s="53">
        <v>45587</v>
      </c>
      <c r="C396" s="12" t="s">
        <v>26</v>
      </c>
      <c r="D396" s="8" t="s">
        <v>58</v>
      </c>
      <c r="E396" s="9" t="s">
        <v>32</v>
      </c>
      <c r="F396" s="9" t="s">
        <v>609</v>
      </c>
      <c r="G396" s="4" t="s">
        <v>146</v>
      </c>
      <c r="H396" s="4">
        <v>33716385359</v>
      </c>
      <c r="I396" s="4" t="s">
        <v>142</v>
      </c>
      <c r="J396" s="8" t="s">
        <v>381</v>
      </c>
      <c r="K396" s="173">
        <v>1</v>
      </c>
      <c r="L396" s="10">
        <v>31900</v>
      </c>
      <c r="M396" s="10">
        <f>+Tabla1[[#This Row],[Neto]]*21%</f>
        <v>6699</v>
      </c>
      <c r="N396" s="10">
        <v>0</v>
      </c>
      <c r="O396" s="10">
        <v>0</v>
      </c>
      <c r="P396" s="10">
        <v>0</v>
      </c>
      <c r="Q396" s="10">
        <v>186975</v>
      </c>
      <c r="R396" s="10">
        <v>0</v>
      </c>
      <c r="S396" s="10">
        <f>+(Tabla1[[#This Row],[Exento]]+Tabla1[[#This Row],[Neto]])*3.6%</f>
        <v>7879.5000000000009</v>
      </c>
      <c r="T396" s="10">
        <v>0</v>
      </c>
      <c r="U396" s="10">
        <f>+SUM(Tabla1[[#This Row],[IVA 21%]:[IVA 27%]])</f>
        <v>6699</v>
      </c>
      <c r="V396" s="10">
        <f>+SUM(Tabla1[[#This Row],[Neto]:[Impuestos Internos / Otros Tributos]])</f>
        <v>233453.5</v>
      </c>
      <c r="W396" s="10">
        <f>+Tabla1[[#This Row],[Total]]</f>
        <v>233453.5</v>
      </c>
      <c r="X396" s="10"/>
      <c r="Y396" s="10" t="s">
        <v>324</v>
      </c>
      <c r="Z396" s="10"/>
      <c r="AA396" s="107">
        <v>45610</v>
      </c>
      <c r="AJ396" s="4" t="s">
        <v>963</v>
      </c>
    </row>
    <row r="397" spans="1:36" hidden="1" x14ac:dyDescent="0.3">
      <c r="A397" s="78" t="s">
        <v>337</v>
      </c>
      <c r="B397" s="79">
        <v>45587</v>
      </c>
      <c r="C397" s="80" t="s">
        <v>26</v>
      </c>
      <c r="D397" s="78" t="s">
        <v>58</v>
      </c>
      <c r="E397" s="85" t="s">
        <v>37</v>
      </c>
      <c r="F397" s="85" t="s">
        <v>658</v>
      </c>
      <c r="G397" s="81" t="s">
        <v>654</v>
      </c>
      <c r="H397" s="81">
        <v>33710956109</v>
      </c>
      <c r="I397" s="81" t="s">
        <v>659</v>
      </c>
      <c r="J397" s="78" t="s">
        <v>381</v>
      </c>
      <c r="K397" s="173">
        <v>1</v>
      </c>
      <c r="L397" s="82">
        <v>4275000</v>
      </c>
      <c r="M397" s="82">
        <f>+Tabla1[[#This Row],[Neto]]*21%</f>
        <v>897750</v>
      </c>
      <c r="N397" s="82">
        <v>0</v>
      </c>
      <c r="O397" s="82">
        <v>0</v>
      </c>
      <c r="P397" s="82">
        <v>0</v>
      </c>
      <c r="Q397" s="82">
        <v>0</v>
      </c>
      <c r="R397" s="82">
        <v>0</v>
      </c>
      <c r="S397" s="82">
        <v>0</v>
      </c>
      <c r="T397" s="82">
        <v>0</v>
      </c>
      <c r="U397" s="82">
        <f>+SUM(Tabla1[[#This Row],[IVA 21%]:[IVA 27%]])</f>
        <v>897750</v>
      </c>
      <c r="V397" s="10">
        <f>+SUM(Tabla1[[#This Row],[Neto]:[Impuestos Internos / Otros Tributos]])</f>
        <v>5172750</v>
      </c>
      <c r="W397" s="10">
        <f>+Tabla1[[#This Row],[Total]]</f>
        <v>5172750</v>
      </c>
      <c r="X397" s="82"/>
      <c r="Y397" s="83" t="s">
        <v>325</v>
      </c>
      <c r="Z397" s="83"/>
      <c r="AA397" s="108"/>
      <c r="AB397" s="82"/>
      <c r="AC397" s="81"/>
      <c r="AD397" s="81"/>
      <c r="AE397" s="81"/>
      <c r="AF397" s="81"/>
      <c r="AG397" s="81"/>
      <c r="AH397" s="82"/>
      <c r="AI397" s="81"/>
      <c r="AJ397" s="188"/>
    </row>
    <row r="398" spans="1:36" hidden="1" x14ac:dyDescent="0.3">
      <c r="A398" s="8" t="s">
        <v>337</v>
      </c>
      <c r="B398" s="53">
        <v>45587</v>
      </c>
      <c r="C398" s="12" t="s">
        <v>26</v>
      </c>
      <c r="D398" s="8" t="s">
        <v>58</v>
      </c>
      <c r="E398" s="9" t="s">
        <v>67</v>
      </c>
      <c r="F398" s="9" t="s">
        <v>671</v>
      </c>
      <c r="G398" s="4" t="s">
        <v>672</v>
      </c>
      <c r="H398" s="4">
        <v>30714856274</v>
      </c>
      <c r="I398" s="4" t="s">
        <v>142</v>
      </c>
      <c r="J398" s="8" t="s">
        <v>381</v>
      </c>
      <c r="K398" s="173">
        <v>1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86286.7</v>
      </c>
      <c r="R398" s="10">
        <v>0</v>
      </c>
      <c r="S398" s="10">
        <v>0</v>
      </c>
      <c r="T398" s="10">
        <v>0</v>
      </c>
      <c r="U398" s="10">
        <f>+SUM(Tabla1[[#This Row],[IVA 21%]:[IVA 27%]])</f>
        <v>0</v>
      </c>
      <c r="V398" s="10">
        <f>+SUM(Tabla1[[#This Row],[Neto]:[Impuestos Internos / Otros Tributos]])</f>
        <v>86286.7</v>
      </c>
      <c r="W398" s="10">
        <f>+Tabla1[[#This Row],[Total]]</f>
        <v>86286.7</v>
      </c>
      <c r="X398" s="10"/>
      <c r="Y398" s="49" t="s">
        <v>325</v>
      </c>
      <c r="AA398" s="109"/>
      <c r="AJ398" s="188"/>
    </row>
    <row r="399" spans="1:36" hidden="1" x14ac:dyDescent="0.3">
      <c r="A399" s="8" t="s">
        <v>337</v>
      </c>
      <c r="B399" s="53">
        <v>45588</v>
      </c>
      <c r="C399" s="80" t="s">
        <v>26</v>
      </c>
      <c r="D399" s="8" t="s">
        <v>58</v>
      </c>
      <c r="E399" s="9" t="s">
        <v>107</v>
      </c>
      <c r="F399" s="9" t="s">
        <v>143</v>
      </c>
      <c r="G399" s="4" t="s">
        <v>192</v>
      </c>
      <c r="H399" s="4">
        <v>27057859755</v>
      </c>
      <c r="I399" s="4" t="s">
        <v>595</v>
      </c>
      <c r="J399" s="8" t="s">
        <v>381</v>
      </c>
      <c r="K399" s="173">
        <v>1</v>
      </c>
      <c r="L399" s="10">
        <v>2704000</v>
      </c>
      <c r="M399" s="10">
        <v>567840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f>+SUM(Tabla1[[#This Row],[IVA 21%]:[IVA 27%]])</f>
        <v>567840</v>
      </c>
      <c r="V399" s="10">
        <f>+SUM(Tabla1[[#This Row],[Neto]:[Impuestos Internos / Otros Tributos]])</f>
        <v>3271840</v>
      </c>
      <c r="W399" s="10">
        <f>+Tabla1[[#This Row],[Total]]</f>
        <v>3271840</v>
      </c>
      <c r="X399" s="10">
        <v>0</v>
      </c>
      <c r="Y399" s="10" t="s">
        <v>324</v>
      </c>
      <c r="Z399" s="10"/>
      <c r="AA399" s="109">
        <v>45583</v>
      </c>
      <c r="AB399" s="32">
        <f>+Tabla1[[#This Row],[Total a Pagar]]</f>
        <v>3271840</v>
      </c>
      <c r="AH399" s="10">
        <v>0</v>
      </c>
      <c r="AJ399" s="188"/>
    </row>
    <row r="400" spans="1:36" ht="13.95" hidden="1" customHeight="1" x14ac:dyDescent="0.3">
      <c r="A400" s="8" t="s">
        <v>337</v>
      </c>
      <c r="B400" s="53">
        <v>45588</v>
      </c>
      <c r="C400" s="12" t="s">
        <v>26</v>
      </c>
      <c r="D400" s="8" t="s">
        <v>27</v>
      </c>
      <c r="E400" s="9" t="s">
        <v>28</v>
      </c>
      <c r="F400" s="9" t="s">
        <v>143</v>
      </c>
      <c r="G400" s="4" t="s">
        <v>284</v>
      </c>
      <c r="H400" s="4">
        <v>27339701712</v>
      </c>
      <c r="I400" s="4" t="s">
        <v>928</v>
      </c>
      <c r="J400" s="8" t="s">
        <v>381</v>
      </c>
      <c r="K400" s="173">
        <v>1</v>
      </c>
      <c r="L400" s="10">
        <v>1600000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f>+SUM(Tabla1[[#This Row],[IVA 21%]:[IVA 27%]])</f>
        <v>0</v>
      </c>
      <c r="V400" s="10">
        <f>+SUM(Tabla1[[#This Row],[Neto]:[Impuestos Internos / Otros Tributos]])</f>
        <v>1600000</v>
      </c>
      <c r="W400" s="10">
        <f>+Tabla1[[#This Row],[Total]]</f>
        <v>1600000</v>
      </c>
      <c r="X400" s="10">
        <v>0</v>
      </c>
      <c r="Y400" s="49" t="s">
        <v>324</v>
      </c>
      <c r="AA400" s="109">
        <v>45583</v>
      </c>
      <c r="AB400" s="32">
        <f>+Tabla1[[#This Row],[Total a Pagar]]</f>
        <v>1600000</v>
      </c>
      <c r="AH400" s="10">
        <v>0</v>
      </c>
      <c r="AJ400" s="188"/>
    </row>
    <row r="401" spans="1:36" hidden="1" x14ac:dyDescent="0.3">
      <c r="A401" s="78" t="s">
        <v>337</v>
      </c>
      <c r="B401" s="79">
        <v>45588</v>
      </c>
      <c r="C401" s="12" t="s">
        <v>26</v>
      </c>
      <c r="D401" s="8" t="s">
        <v>58</v>
      </c>
      <c r="E401" s="9" t="s">
        <v>399</v>
      </c>
      <c r="F401" s="9" t="s">
        <v>682</v>
      </c>
      <c r="G401" s="81" t="s">
        <v>61</v>
      </c>
      <c r="H401" s="4">
        <v>30716375184</v>
      </c>
      <c r="I401" s="4" t="s">
        <v>62</v>
      </c>
      <c r="J401" s="8" t="s">
        <v>381</v>
      </c>
      <c r="K401" s="173">
        <v>1</v>
      </c>
      <c r="L401" s="10">
        <v>16561.93</v>
      </c>
      <c r="M401" s="10">
        <f>+Tabla1[[#This Row],[Neto]]*21%</f>
        <v>3478.0052999999998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f>+SUM(Tabla1[[#This Row],[IVA 21%]:[IVA 27%]])</f>
        <v>3478.0052999999998</v>
      </c>
      <c r="V401" s="10">
        <f>+SUM(Tabla1[[#This Row],[Neto]:[Impuestos Internos / Otros Tributos]])</f>
        <v>20039.935300000001</v>
      </c>
      <c r="W401" s="10">
        <f>+Tabla1[[#This Row],[Total]]</f>
        <v>20039.935300000001</v>
      </c>
      <c r="X401" s="10">
        <v>0</v>
      </c>
      <c r="Y401" s="49" t="s">
        <v>324</v>
      </c>
      <c r="AA401" s="109">
        <v>45588</v>
      </c>
      <c r="AB401" s="10">
        <v>0</v>
      </c>
      <c r="AH401" s="32">
        <f>+Tabla1[[#This Row],[Total a Pagar]]</f>
        <v>20039.935300000001</v>
      </c>
      <c r="AJ401" s="188"/>
    </row>
    <row r="402" spans="1:36" ht="13.95" hidden="1" customHeight="1" x14ac:dyDescent="0.3">
      <c r="A402" s="78" t="s">
        <v>337</v>
      </c>
      <c r="B402" s="79">
        <v>45588</v>
      </c>
      <c r="C402" s="80" t="s">
        <v>402</v>
      </c>
      <c r="D402" s="78" t="s">
        <v>403</v>
      </c>
      <c r="E402" s="85" t="s">
        <v>28</v>
      </c>
      <c r="F402" s="85" t="s">
        <v>687</v>
      </c>
      <c r="G402" s="81" t="s">
        <v>406</v>
      </c>
      <c r="H402" s="81">
        <v>30111111111</v>
      </c>
      <c r="I402" s="81" t="s">
        <v>279</v>
      </c>
      <c r="J402" s="78" t="s">
        <v>381</v>
      </c>
      <c r="K402" s="173">
        <v>1</v>
      </c>
      <c r="L402" s="82">
        <v>36919</v>
      </c>
      <c r="M402" s="82">
        <v>0</v>
      </c>
      <c r="N402" s="82">
        <v>0</v>
      </c>
      <c r="O402" s="82">
        <v>0</v>
      </c>
      <c r="P402" s="82">
        <v>0</v>
      </c>
      <c r="Q402" s="82">
        <v>0</v>
      </c>
      <c r="R402" s="82">
        <v>0</v>
      </c>
      <c r="S402" s="82">
        <v>0</v>
      </c>
      <c r="T402" s="82">
        <v>0</v>
      </c>
      <c r="U402" s="82">
        <f>+SUM(Tabla1[[#This Row],[IVA 21%]:[IVA 27%]])</f>
        <v>0</v>
      </c>
      <c r="V402" s="10">
        <f>+SUM(Tabla1[[#This Row],[Neto]:[Impuestos Internos / Otros Tributos]])</f>
        <v>36919</v>
      </c>
      <c r="W402" s="10">
        <f>+Tabla1[[#This Row],[Total]]</f>
        <v>36919</v>
      </c>
      <c r="X402" s="82">
        <v>0</v>
      </c>
      <c r="Y402" s="83" t="s">
        <v>324</v>
      </c>
      <c r="Z402" s="83"/>
      <c r="AA402" s="108">
        <v>45588</v>
      </c>
      <c r="AB402" s="82">
        <v>0</v>
      </c>
      <c r="AC402" s="81"/>
      <c r="AD402" s="81"/>
      <c r="AE402" s="81"/>
      <c r="AF402" s="81"/>
      <c r="AG402" s="81"/>
      <c r="AH402" s="84">
        <f>+Tabla1[[#This Row],[Total a Pagar]]</f>
        <v>36919</v>
      </c>
      <c r="AI402" s="81"/>
      <c r="AJ402" s="188"/>
    </row>
    <row r="403" spans="1:36" hidden="1" x14ac:dyDescent="0.3">
      <c r="A403" s="78" t="s">
        <v>337</v>
      </c>
      <c r="B403" s="79">
        <v>45588</v>
      </c>
      <c r="C403" s="37" t="s">
        <v>434</v>
      </c>
      <c r="D403" s="78" t="s">
        <v>403</v>
      </c>
      <c r="E403" s="85" t="s">
        <v>688</v>
      </c>
      <c r="F403" s="85" t="s">
        <v>687</v>
      </c>
      <c r="G403" s="81" t="s">
        <v>406</v>
      </c>
      <c r="H403" s="81">
        <v>30111111111</v>
      </c>
      <c r="I403" s="81" t="s">
        <v>405</v>
      </c>
      <c r="J403" s="78" t="s">
        <v>381</v>
      </c>
      <c r="K403" s="173">
        <v>1</v>
      </c>
      <c r="L403" s="82">
        <v>6060</v>
      </c>
      <c r="M403" s="82">
        <v>0</v>
      </c>
      <c r="N403" s="82">
        <v>0</v>
      </c>
      <c r="O403" s="82">
        <v>0</v>
      </c>
      <c r="P403" s="82">
        <v>0</v>
      </c>
      <c r="Q403" s="82">
        <v>0</v>
      </c>
      <c r="R403" s="82">
        <v>0</v>
      </c>
      <c r="S403" s="82">
        <v>0</v>
      </c>
      <c r="T403" s="82">
        <v>0</v>
      </c>
      <c r="U403" s="82">
        <f>+SUM(Tabla1[[#This Row],[IVA 21%]:[IVA 27%]])</f>
        <v>0</v>
      </c>
      <c r="V403" s="10">
        <f>+SUM(Tabla1[[#This Row],[Neto]:[Impuestos Internos / Otros Tributos]])</f>
        <v>6060</v>
      </c>
      <c r="W403" s="10">
        <f>+Tabla1[[#This Row],[Total]]</f>
        <v>6060</v>
      </c>
      <c r="X403" s="82">
        <v>0</v>
      </c>
      <c r="Y403" s="83" t="s">
        <v>324</v>
      </c>
      <c r="Z403" s="83"/>
      <c r="AA403" s="108">
        <v>45588</v>
      </c>
      <c r="AB403" s="82">
        <v>0</v>
      </c>
      <c r="AC403" s="81"/>
      <c r="AD403" s="81"/>
      <c r="AE403" s="81"/>
      <c r="AF403" s="81"/>
      <c r="AG403" s="81"/>
      <c r="AH403" s="84">
        <f>+Tabla1[[#This Row],[Total a Pagar]]</f>
        <v>6060</v>
      </c>
      <c r="AI403" s="81"/>
      <c r="AJ403" s="188"/>
    </row>
    <row r="404" spans="1:36" hidden="1" x14ac:dyDescent="0.3">
      <c r="A404" s="95" t="s">
        <v>337</v>
      </c>
      <c r="B404" s="96">
        <v>45588</v>
      </c>
      <c r="C404" s="12" t="s">
        <v>26</v>
      </c>
      <c r="D404" s="8" t="s">
        <v>27</v>
      </c>
      <c r="E404" s="9" t="s">
        <v>32</v>
      </c>
      <c r="F404" s="9" t="s">
        <v>50</v>
      </c>
      <c r="G404" s="99" t="s">
        <v>552</v>
      </c>
      <c r="H404" s="4">
        <v>20306364945</v>
      </c>
      <c r="I404" s="4" t="s">
        <v>812</v>
      </c>
      <c r="J404" s="8" t="s">
        <v>381</v>
      </c>
      <c r="K404" s="173">
        <v>1</v>
      </c>
      <c r="L404" s="100">
        <v>6592000</v>
      </c>
      <c r="M404" s="100">
        <v>0</v>
      </c>
      <c r="N404" s="100">
        <v>0</v>
      </c>
      <c r="O404" s="100">
        <v>0</v>
      </c>
      <c r="P404" s="100">
        <v>0</v>
      </c>
      <c r="Q404" s="100">
        <v>0</v>
      </c>
      <c r="R404" s="100">
        <v>0</v>
      </c>
      <c r="S404" s="100">
        <v>0</v>
      </c>
      <c r="T404" s="100">
        <v>0</v>
      </c>
      <c r="U404" s="100">
        <f>+SUM(Tabla1[[#This Row],[IVA 21%]:[IVA 27%]])</f>
        <v>0</v>
      </c>
      <c r="V404" s="10">
        <f>+SUM(Tabla1[[#This Row],[Neto]:[Impuestos Internos / Otros Tributos]])</f>
        <v>6592000</v>
      </c>
      <c r="W404" s="10">
        <f>+Tabla1[[#This Row],[Total]]</f>
        <v>6592000</v>
      </c>
      <c r="X404" s="100">
        <v>0</v>
      </c>
      <c r="Y404" s="101" t="s">
        <v>325</v>
      </c>
      <c r="Z404" s="101"/>
      <c r="AA404" s="116"/>
      <c r="AB404" s="100"/>
      <c r="AC404" s="99"/>
      <c r="AD404" s="99"/>
      <c r="AE404" s="99"/>
      <c r="AF404" s="99"/>
      <c r="AG404" s="99"/>
      <c r="AH404" s="100"/>
      <c r="AI404" s="99"/>
      <c r="AJ404" s="188"/>
    </row>
    <row r="405" spans="1:36" hidden="1" x14ac:dyDescent="0.3">
      <c r="A405" s="8" t="s">
        <v>337</v>
      </c>
      <c r="B405" s="53">
        <v>45588</v>
      </c>
      <c r="C405" s="12" t="s">
        <v>26</v>
      </c>
      <c r="D405" s="8" t="s">
        <v>58</v>
      </c>
      <c r="E405" s="9" t="s">
        <v>767</v>
      </c>
      <c r="F405" s="9" t="s">
        <v>739</v>
      </c>
      <c r="G405" s="4" t="s">
        <v>95</v>
      </c>
      <c r="H405" s="4">
        <v>30583516790</v>
      </c>
      <c r="I405" s="4" t="s">
        <v>96</v>
      </c>
      <c r="J405" s="8" t="s">
        <v>381</v>
      </c>
      <c r="K405" s="173">
        <v>1</v>
      </c>
      <c r="L405" s="10">
        <v>3430.85</v>
      </c>
      <c r="M405" s="10">
        <f>+Tabla1[[#This Row],[Neto]]*21%</f>
        <v>720.47849999999994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f>+SUM(Tabla1[[#This Row],[IVA 21%]:[IVA 27%]])</f>
        <v>720.47849999999994</v>
      </c>
      <c r="V405" s="10">
        <f>+SUM(Tabla1[[#This Row],[Neto]:[Impuestos Internos / Otros Tributos]])</f>
        <v>4151.3284999999996</v>
      </c>
      <c r="W405" s="82">
        <f>+Tabla1[[#This Row],[Total]]</f>
        <v>4151.3284999999996</v>
      </c>
      <c r="X405" s="10">
        <v>0</v>
      </c>
      <c r="Y405" s="49" t="s">
        <v>324</v>
      </c>
      <c r="AA405" s="109">
        <v>45588</v>
      </c>
      <c r="AB405" s="10">
        <v>0</v>
      </c>
      <c r="AH405" s="32">
        <f>+Tabla1[[#This Row],[Total a Pagar]]</f>
        <v>4151.3284999999996</v>
      </c>
      <c r="AJ405" s="188"/>
    </row>
    <row r="406" spans="1:36" hidden="1" x14ac:dyDescent="0.3">
      <c r="A406" s="78" t="s">
        <v>337</v>
      </c>
      <c r="B406" s="79">
        <v>45589</v>
      </c>
      <c r="C406" s="80" t="s">
        <v>26</v>
      </c>
      <c r="D406" s="8" t="s">
        <v>58</v>
      </c>
      <c r="E406" s="9" t="s">
        <v>151</v>
      </c>
      <c r="F406" s="9" t="s">
        <v>618</v>
      </c>
      <c r="G406" s="81" t="s">
        <v>360</v>
      </c>
      <c r="H406" s="4">
        <v>30716939762</v>
      </c>
      <c r="I406" s="4" t="s">
        <v>62</v>
      </c>
      <c r="J406" s="8" t="s">
        <v>381</v>
      </c>
      <c r="K406" s="173">
        <v>1</v>
      </c>
      <c r="L406" s="82">
        <v>90072</v>
      </c>
      <c r="M406" s="82">
        <f>+Tabla1[[#This Row],[Neto]]*21%</f>
        <v>18915.12</v>
      </c>
      <c r="N406" s="82">
        <v>0</v>
      </c>
      <c r="O406" s="82">
        <v>0</v>
      </c>
      <c r="P406" s="82">
        <v>0</v>
      </c>
      <c r="Q406" s="82">
        <v>0</v>
      </c>
      <c r="R406" s="82">
        <v>0</v>
      </c>
      <c r="S406" s="82">
        <v>0</v>
      </c>
      <c r="T406" s="82">
        <v>0</v>
      </c>
      <c r="U406" s="82">
        <f>+SUM(Tabla1[[#This Row],[IVA 21%]:[IVA 27%]])</f>
        <v>18915.12</v>
      </c>
      <c r="V406" s="10">
        <f>+SUM(Tabla1[[#This Row],[Neto]:[Impuestos Internos / Otros Tributos]])</f>
        <v>108987.12</v>
      </c>
      <c r="W406" s="82">
        <f>+Tabla1[[#This Row],[Total]]</f>
        <v>108987.12</v>
      </c>
      <c r="X406" s="82">
        <v>0</v>
      </c>
      <c r="Y406" s="49" t="s">
        <v>324</v>
      </c>
      <c r="AA406" s="109">
        <v>45588</v>
      </c>
      <c r="AB406" s="82">
        <f>+Tabla1[[#This Row],[Total a Pagar]]-AB20</f>
        <v>108987.12</v>
      </c>
      <c r="AC406" s="81"/>
      <c r="AD406" s="81"/>
      <c r="AE406" s="81"/>
      <c r="AF406" s="81"/>
      <c r="AG406" s="81"/>
      <c r="AH406" s="82"/>
      <c r="AI406" s="81"/>
      <c r="AJ406" s="188"/>
    </row>
    <row r="407" spans="1:36" hidden="1" x14ac:dyDescent="0.3">
      <c r="A407" s="78" t="s">
        <v>337</v>
      </c>
      <c r="B407" s="79">
        <v>45589</v>
      </c>
      <c r="C407" s="80" t="s">
        <v>26</v>
      </c>
      <c r="D407" s="8" t="s">
        <v>58</v>
      </c>
      <c r="E407" s="9" t="s">
        <v>107</v>
      </c>
      <c r="F407" s="9" t="s">
        <v>622</v>
      </c>
      <c r="G407" s="81" t="s">
        <v>623</v>
      </c>
      <c r="H407" s="81">
        <v>30711918538</v>
      </c>
      <c r="I407" s="81" t="s">
        <v>624</v>
      </c>
      <c r="J407" s="78" t="s">
        <v>381</v>
      </c>
      <c r="K407" s="173">
        <v>1</v>
      </c>
      <c r="L407" s="82">
        <v>115220.52</v>
      </c>
      <c r="M407" s="82">
        <f>+Tabla1[[#This Row],[Neto]]*21%</f>
        <v>24196.3092</v>
      </c>
      <c r="N407" s="82">
        <v>0</v>
      </c>
      <c r="O407" s="82">
        <v>0</v>
      </c>
      <c r="P407" s="82">
        <v>0</v>
      </c>
      <c r="Q407" s="82">
        <v>0</v>
      </c>
      <c r="R407" s="82">
        <v>0</v>
      </c>
      <c r="S407" s="82">
        <v>0</v>
      </c>
      <c r="T407" s="82">
        <v>0</v>
      </c>
      <c r="U407" s="82">
        <f>+SUM(Tabla1[[#This Row],[IVA 21%]:[IVA 27%]])</f>
        <v>24196.3092</v>
      </c>
      <c r="V407" s="10">
        <f>+SUM(Tabla1[[#This Row],[Neto]:[Impuestos Internos / Otros Tributos]])</f>
        <v>139416.82920000001</v>
      </c>
      <c r="W407" s="82">
        <f>+Tabla1[[#This Row],[Total]]</f>
        <v>139416.82920000001</v>
      </c>
      <c r="X407" s="82">
        <v>0</v>
      </c>
      <c r="Y407" s="83" t="s">
        <v>325</v>
      </c>
      <c r="Z407" s="83"/>
      <c r="AA407" s="108"/>
      <c r="AB407" s="82"/>
      <c r="AC407" s="81"/>
      <c r="AD407" s="81"/>
      <c r="AE407" s="81"/>
      <c r="AF407" s="81"/>
      <c r="AG407" s="81"/>
      <c r="AH407" s="82"/>
      <c r="AI407" s="81"/>
      <c r="AJ407" s="188"/>
    </row>
    <row r="408" spans="1:36" hidden="1" x14ac:dyDescent="0.3">
      <c r="A408" s="8" t="s">
        <v>337</v>
      </c>
      <c r="B408" s="53">
        <v>45589</v>
      </c>
      <c r="C408" s="12" t="s">
        <v>26</v>
      </c>
      <c r="D408" s="8" t="s">
        <v>58</v>
      </c>
      <c r="E408" s="9" t="s">
        <v>64</v>
      </c>
      <c r="F408" s="9" t="s">
        <v>678</v>
      </c>
      <c r="G408" s="4" t="s">
        <v>66</v>
      </c>
      <c r="H408" s="4">
        <v>30673770483</v>
      </c>
      <c r="I408" s="4" t="s">
        <v>62</v>
      </c>
      <c r="J408" s="8" t="s">
        <v>381</v>
      </c>
      <c r="K408" s="173">
        <v>1</v>
      </c>
      <c r="L408" s="10">
        <v>57243.06</v>
      </c>
      <c r="M408" s="10">
        <f>+Tabla1[[#This Row],[Neto]]*21%</f>
        <v>12021.042599999999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f>+Tabla1[[#This Row],[Neto]]*3.6%</f>
        <v>2060.7501600000001</v>
      </c>
      <c r="T408" s="10">
        <v>0</v>
      </c>
      <c r="U408" s="10">
        <f>+SUM(Tabla1[[#This Row],[IVA 21%]:[IVA 27%]])</f>
        <v>12021.042599999999</v>
      </c>
      <c r="V408" s="10">
        <f>+SUM(Tabla1[[#This Row],[Neto]:[Impuestos Internos / Otros Tributos]])</f>
        <v>71324.852759999994</v>
      </c>
      <c r="W408" s="10">
        <f>+Tabla1[[#This Row],[Total]]</f>
        <v>71324.852759999994</v>
      </c>
      <c r="X408" s="10">
        <v>0</v>
      </c>
      <c r="Y408" s="49" t="s">
        <v>324</v>
      </c>
      <c r="AA408" s="109">
        <v>45589</v>
      </c>
      <c r="AB408" s="10">
        <v>0</v>
      </c>
      <c r="AH408" s="32">
        <f>+Tabla1[[#This Row],[Total a Pagar]]</f>
        <v>71324.852759999994</v>
      </c>
      <c r="AJ408" s="188"/>
    </row>
    <row r="409" spans="1:36" hidden="1" x14ac:dyDescent="0.3">
      <c r="A409" s="8" t="s">
        <v>337</v>
      </c>
      <c r="B409" s="53">
        <v>45589</v>
      </c>
      <c r="C409" s="12" t="s">
        <v>26</v>
      </c>
      <c r="D409" s="8" t="s">
        <v>58</v>
      </c>
      <c r="E409" s="9" t="s">
        <v>679</v>
      </c>
      <c r="F409" s="9" t="s">
        <v>680</v>
      </c>
      <c r="G409" s="4" t="s">
        <v>681</v>
      </c>
      <c r="H409" s="4">
        <v>30711230862</v>
      </c>
      <c r="I409" s="4" t="s">
        <v>62</v>
      </c>
      <c r="J409" s="8" t="s">
        <v>381</v>
      </c>
      <c r="K409" s="173">
        <v>1</v>
      </c>
      <c r="L409" s="10">
        <v>19005.2</v>
      </c>
      <c r="M409" s="10">
        <f>+Tabla1[[#This Row],[Neto]]*21%</f>
        <v>3991.0920000000001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f>+Tabla1[[#This Row],[Neto]]*3.6%</f>
        <v>684.18720000000008</v>
      </c>
      <c r="T409" s="10">
        <v>0</v>
      </c>
      <c r="U409" s="10">
        <f>+SUM(Tabla1[[#This Row],[IVA 21%]:[IVA 27%]])</f>
        <v>3991.0920000000001</v>
      </c>
      <c r="V409" s="10">
        <f>+SUM(Tabla1[[#This Row],[Neto]:[Impuestos Internos / Otros Tributos]])</f>
        <v>23680.479200000002</v>
      </c>
      <c r="W409" s="10">
        <f>+Tabla1[[#This Row],[Total]]</f>
        <v>23680.479200000002</v>
      </c>
      <c r="X409" s="10">
        <v>0</v>
      </c>
      <c r="Y409" s="49" t="s">
        <v>324</v>
      </c>
      <c r="AA409" s="109">
        <v>45589</v>
      </c>
      <c r="AB409" s="10">
        <v>0</v>
      </c>
      <c r="AH409" s="32">
        <f>+Tabla1[[#This Row],[Total a Pagar]]</f>
        <v>23680.479200000002</v>
      </c>
      <c r="AJ409" s="188"/>
    </row>
    <row r="410" spans="1:36" hidden="1" x14ac:dyDescent="0.3">
      <c r="A410" s="78" t="s">
        <v>337</v>
      </c>
      <c r="B410" s="79">
        <v>45589</v>
      </c>
      <c r="C410" s="37" t="s">
        <v>434</v>
      </c>
      <c r="D410" s="78" t="s">
        <v>403</v>
      </c>
      <c r="E410" s="85" t="s">
        <v>28</v>
      </c>
      <c r="F410" s="85" t="s">
        <v>562</v>
      </c>
      <c r="G410" s="81" t="s">
        <v>406</v>
      </c>
      <c r="H410" s="81">
        <v>30111111111</v>
      </c>
      <c r="I410" s="81" t="s">
        <v>405</v>
      </c>
      <c r="J410" s="78" t="s">
        <v>381</v>
      </c>
      <c r="K410" s="173">
        <v>1</v>
      </c>
      <c r="L410" s="82">
        <v>5000</v>
      </c>
      <c r="M410" s="82">
        <v>0</v>
      </c>
      <c r="N410" s="82">
        <v>0</v>
      </c>
      <c r="O410" s="82">
        <v>0</v>
      </c>
      <c r="P410" s="82">
        <v>0</v>
      </c>
      <c r="Q410" s="82">
        <v>0</v>
      </c>
      <c r="R410" s="82">
        <v>0</v>
      </c>
      <c r="S410" s="82">
        <v>0</v>
      </c>
      <c r="T410" s="82">
        <v>0</v>
      </c>
      <c r="U410" s="82">
        <f>+SUM(Tabla1[[#This Row],[IVA 21%]:[IVA 27%]])</f>
        <v>0</v>
      </c>
      <c r="V410" s="10">
        <f>+SUM(Tabla1[[#This Row],[Neto]:[Impuestos Internos / Otros Tributos]])</f>
        <v>5000</v>
      </c>
      <c r="W410" s="10">
        <f>+Tabla1[[#This Row],[Total]]</f>
        <v>5000</v>
      </c>
      <c r="X410" s="82">
        <v>0</v>
      </c>
      <c r="Y410" s="83" t="s">
        <v>324</v>
      </c>
      <c r="Z410" s="83"/>
      <c r="AA410" s="108">
        <v>45589</v>
      </c>
      <c r="AB410" s="82">
        <v>0</v>
      </c>
      <c r="AC410" s="81"/>
      <c r="AD410" s="81"/>
      <c r="AE410" s="81"/>
      <c r="AF410" s="81"/>
      <c r="AG410" s="81"/>
      <c r="AH410" s="84">
        <f>+Tabla1[[#This Row],[Total a Pagar]]</f>
        <v>5000</v>
      </c>
      <c r="AI410" s="81"/>
      <c r="AJ410" s="188"/>
    </row>
    <row r="411" spans="1:36" hidden="1" x14ac:dyDescent="0.3">
      <c r="A411" s="8" t="s">
        <v>337</v>
      </c>
      <c r="B411" s="53">
        <v>45589</v>
      </c>
      <c r="C411" s="12" t="s">
        <v>26</v>
      </c>
      <c r="D411" s="8" t="s">
        <v>58</v>
      </c>
      <c r="E411" s="9" t="s">
        <v>74</v>
      </c>
      <c r="F411" s="9" t="s">
        <v>710</v>
      </c>
      <c r="G411" s="4" t="s">
        <v>315</v>
      </c>
      <c r="H411" s="4">
        <v>33631274329</v>
      </c>
      <c r="I411" s="4" t="s">
        <v>709</v>
      </c>
      <c r="J411" s="8" t="s">
        <v>381</v>
      </c>
      <c r="K411" s="173">
        <v>1</v>
      </c>
      <c r="L411" s="10">
        <v>55475.11</v>
      </c>
      <c r="M411" s="10">
        <v>0</v>
      </c>
      <c r="N411" s="10">
        <f>+Tabla1[[#This Row],[Neto]]*10.5%</f>
        <v>5824.8865500000002</v>
      </c>
      <c r="O411" s="10">
        <v>0</v>
      </c>
      <c r="P411" s="10">
        <v>0</v>
      </c>
      <c r="Q411" s="10">
        <v>0</v>
      </c>
      <c r="R411" s="10">
        <v>0</v>
      </c>
      <c r="S411" s="10">
        <f>+Tabla1[[#This Row],[Neto]]*3.6%</f>
        <v>1997.1039600000001</v>
      </c>
      <c r="T411" s="10">
        <v>0</v>
      </c>
      <c r="U411" s="10">
        <f>+SUM(Tabla1[[#This Row],[IVA 21%]:[IVA 27%]])</f>
        <v>5824.8865500000002</v>
      </c>
      <c r="V411" s="10">
        <f>+SUM(Tabla1[[#This Row],[Neto]:[Impuestos Internos / Otros Tributos]])</f>
        <v>63297.100510000004</v>
      </c>
      <c r="W411" s="10">
        <f>+Tabla1[[#This Row],[Total]]</f>
        <v>63297.100510000004</v>
      </c>
      <c r="X411" s="10"/>
      <c r="Y411" s="14" t="s">
        <v>325</v>
      </c>
      <c r="Z411" s="14"/>
      <c r="AA411" s="109"/>
      <c r="AJ411" s="188"/>
    </row>
    <row r="412" spans="1:36" ht="13.95" customHeight="1" x14ac:dyDescent="0.3">
      <c r="A412" s="8" t="s">
        <v>337</v>
      </c>
      <c r="B412" s="53">
        <v>45589</v>
      </c>
      <c r="C412" s="12" t="s">
        <v>26</v>
      </c>
      <c r="D412" s="8" t="s">
        <v>58</v>
      </c>
      <c r="E412" s="9" t="s">
        <v>211</v>
      </c>
      <c r="F412" s="9" t="s">
        <v>191</v>
      </c>
      <c r="G412" s="4" t="s">
        <v>146</v>
      </c>
      <c r="H412" s="4">
        <v>33716385359</v>
      </c>
      <c r="I412" s="4" t="s">
        <v>142</v>
      </c>
      <c r="J412" s="8" t="s">
        <v>381</v>
      </c>
      <c r="K412" s="173">
        <v>1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192000</v>
      </c>
      <c r="R412" s="10">
        <v>0</v>
      </c>
      <c r="S412" s="10">
        <v>0</v>
      </c>
      <c r="T412" s="10">
        <v>0</v>
      </c>
      <c r="U412" s="10">
        <f>+SUM(Tabla1[[#This Row],[IVA 21%]:[IVA 27%]])</f>
        <v>0</v>
      </c>
      <c r="V412" s="10">
        <f>+SUM(Tabla1[[#This Row],[Neto]:[Impuestos Internos / Otros Tributos]])</f>
        <v>192000</v>
      </c>
      <c r="W412" s="10">
        <f>+Tabla1[[#This Row],[Total]]</f>
        <v>192000</v>
      </c>
      <c r="X412" s="10"/>
      <c r="Y412" s="49" t="s">
        <v>324</v>
      </c>
      <c r="AA412" s="107">
        <v>45610</v>
      </c>
      <c r="AJ412" s="4" t="s">
        <v>963</v>
      </c>
    </row>
    <row r="413" spans="1:36" ht="13.95" hidden="1" customHeight="1" x14ac:dyDescent="0.3">
      <c r="A413" s="78" t="s">
        <v>337</v>
      </c>
      <c r="B413" s="79">
        <v>45590</v>
      </c>
      <c r="C413" s="8" t="s">
        <v>26</v>
      </c>
      <c r="D413" s="8" t="s">
        <v>58</v>
      </c>
      <c r="E413" s="9" t="s">
        <v>699</v>
      </c>
      <c r="F413" s="9" t="s">
        <v>700</v>
      </c>
      <c r="G413" s="4" t="s">
        <v>701</v>
      </c>
      <c r="H413" s="81">
        <v>33711043069</v>
      </c>
      <c r="I413" s="81" t="s">
        <v>297</v>
      </c>
      <c r="J413" s="78" t="s">
        <v>381</v>
      </c>
      <c r="K413" s="173">
        <v>1</v>
      </c>
      <c r="L413" s="82">
        <v>32471.01</v>
      </c>
      <c r="M413" s="82">
        <f>+Tabla1[[#This Row],[Neto]]*21%</f>
        <v>6818.9120999999996</v>
      </c>
      <c r="N413" s="82">
        <v>0</v>
      </c>
      <c r="O413" s="82">
        <v>0</v>
      </c>
      <c r="P413" s="82">
        <v>0</v>
      </c>
      <c r="Q413" s="82">
        <v>0</v>
      </c>
      <c r="R413" s="82">
        <v>0</v>
      </c>
      <c r="S413" s="82">
        <v>0</v>
      </c>
      <c r="T413" s="82">
        <v>0</v>
      </c>
      <c r="U413" s="82">
        <f>+SUM(Tabla1[[#This Row],[IVA 21%]:[IVA 27%]])</f>
        <v>6818.9120999999996</v>
      </c>
      <c r="V413" s="10">
        <f>+SUM(Tabla1[[#This Row],[Neto]:[Impuestos Internos / Otros Tributos]])</f>
        <v>39289.922099999996</v>
      </c>
      <c r="W413" s="10">
        <f>+Tabla1[[#This Row],[Total]]</f>
        <v>39289.922099999996</v>
      </c>
      <c r="X413" s="82">
        <v>0</v>
      </c>
      <c r="Y413" s="83" t="s">
        <v>324</v>
      </c>
      <c r="Z413" s="83"/>
      <c r="AA413" s="108">
        <v>45588</v>
      </c>
      <c r="AB413" s="82">
        <v>0</v>
      </c>
      <c r="AC413" s="81"/>
      <c r="AD413" s="81"/>
      <c r="AE413" s="81"/>
      <c r="AF413" s="81"/>
      <c r="AG413" s="81"/>
      <c r="AH413" s="84">
        <f>+Tabla1[[#This Row],[Total a Pagar]]</f>
        <v>39289.922099999996</v>
      </c>
      <c r="AI413" s="81"/>
      <c r="AJ413" s="188"/>
    </row>
    <row r="414" spans="1:36" hidden="1" x14ac:dyDescent="0.3">
      <c r="A414" s="78" t="s">
        <v>337</v>
      </c>
      <c r="B414" s="79">
        <v>45590</v>
      </c>
      <c r="C414" s="80" t="s">
        <v>26</v>
      </c>
      <c r="D414" s="78" t="s">
        <v>27</v>
      </c>
      <c r="E414" s="85" t="s">
        <v>28</v>
      </c>
      <c r="F414" s="85" t="s">
        <v>579</v>
      </c>
      <c r="G414" s="81" t="s">
        <v>216</v>
      </c>
      <c r="H414" s="81">
        <v>27434989693</v>
      </c>
      <c r="I414" s="81" t="s">
        <v>620</v>
      </c>
      <c r="J414" s="78" t="s">
        <v>381</v>
      </c>
      <c r="K414" s="173">
        <v>1</v>
      </c>
      <c r="L414" s="82">
        <v>1000000</v>
      </c>
      <c r="M414" s="82">
        <v>0</v>
      </c>
      <c r="N414" s="82">
        <v>0</v>
      </c>
      <c r="O414" s="82">
        <v>0</v>
      </c>
      <c r="P414" s="82">
        <v>0</v>
      </c>
      <c r="Q414" s="82">
        <v>0</v>
      </c>
      <c r="R414" s="82">
        <v>0</v>
      </c>
      <c r="S414" s="82">
        <v>0</v>
      </c>
      <c r="T414" s="82">
        <v>0</v>
      </c>
      <c r="U414" s="82">
        <f>+SUM(Tabla1[[#This Row],[IVA 21%]:[IVA 27%]])</f>
        <v>0</v>
      </c>
      <c r="V414" s="10">
        <f>+SUM(Tabla1[[#This Row],[Neto]:[Impuestos Internos / Otros Tributos]])</f>
        <v>1000000</v>
      </c>
      <c r="W414" s="10">
        <f>+Tabla1[[#This Row],[Total]]</f>
        <v>1000000</v>
      </c>
      <c r="X414" s="82">
        <v>0</v>
      </c>
      <c r="Y414" s="10" t="s">
        <v>324</v>
      </c>
      <c r="Z414" s="10"/>
      <c r="AA414" s="108">
        <v>45589</v>
      </c>
      <c r="AB414" s="84">
        <f>+Tabla1[[#This Row],[Total a Pagar]]</f>
        <v>1000000</v>
      </c>
      <c r="AC414" s="81"/>
      <c r="AD414" s="81"/>
      <c r="AE414" s="81"/>
      <c r="AF414" s="81"/>
      <c r="AG414" s="81"/>
      <c r="AH414" s="82">
        <v>0</v>
      </c>
      <c r="AI414" s="81"/>
      <c r="AJ414" s="188"/>
    </row>
    <row r="415" spans="1:36" hidden="1" x14ac:dyDescent="0.3">
      <c r="A415" s="8" t="s">
        <v>337</v>
      </c>
      <c r="B415" s="53">
        <v>45590</v>
      </c>
      <c r="C415" s="12" t="s">
        <v>26</v>
      </c>
      <c r="D415" s="36" t="s">
        <v>58</v>
      </c>
      <c r="E415" s="9" t="s">
        <v>67</v>
      </c>
      <c r="F415" s="9" t="s">
        <v>649</v>
      </c>
      <c r="G415" s="4" t="s">
        <v>650</v>
      </c>
      <c r="H415" s="4">
        <v>33709029989</v>
      </c>
      <c r="I415" s="4" t="s">
        <v>651</v>
      </c>
      <c r="J415" s="8" t="s">
        <v>381</v>
      </c>
      <c r="K415" s="173">
        <v>1</v>
      </c>
      <c r="L415" s="10">
        <v>2848128</v>
      </c>
      <c r="M415" s="10">
        <f>+Tabla1[[#This Row],[Neto]]*21%</f>
        <v>598106.88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f>+SUM(Tabla1[[#This Row],[IVA 21%]:[IVA 27%]])</f>
        <v>598106.88</v>
      </c>
      <c r="V415" s="10">
        <f>+SUM(Tabla1[[#This Row],[Neto]:[Impuestos Internos / Otros Tributos]])</f>
        <v>3446234.88</v>
      </c>
      <c r="W415" s="10">
        <f>+Tabla1[[#This Row],[Total]]</f>
        <v>3446234.88</v>
      </c>
      <c r="X415" s="10">
        <v>52482.559999999998</v>
      </c>
      <c r="Y415" s="49" t="s">
        <v>324</v>
      </c>
      <c r="AA415" s="109">
        <v>45590</v>
      </c>
      <c r="AB415" s="32">
        <f>+Tabla1[[#This Row],[Total a Pagar]]-Tabla1[[#This Row],[SICORE]]</f>
        <v>3393752.32</v>
      </c>
      <c r="AH415" s="10">
        <v>0</v>
      </c>
      <c r="AJ415" s="188"/>
    </row>
    <row r="416" spans="1:36" x14ac:dyDescent="0.3">
      <c r="A416" s="78" t="s">
        <v>337</v>
      </c>
      <c r="B416" s="53">
        <v>45590</v>
      </c>
      <c r="C416" s="12" t="s">
        <v>26</v>
      </c>
      <c r="D416" s="8" t="s">
        <v>58</v>
      </c>
      <c r="E416" s="9" t="s">
        <v>32</v>
      </c>
      <c r="F416" s="9" t="s">
        <v>652</v>
      </c>
      <c r="G416" s="81" t="s">
        <v>146</v>
      </c>
      <c r="H416" s="4">
        <v>33716385359</v>
      </c>
      <c r="I416" s="4" t="s">
        <v>142</v>
      </c>
      <c r="J416" s="78" t="s">
        <v>381</v>
      </c>
      <c r="K416" s="173">
        <v>1</v>
      </c>
      <c r="L416" s="82">
        <v>45000</v>
      </c>
      <c r="M416" s="82">
        <f>+Tabla1[[#This Row],[Neto]]*21%</f>
        <v>9450</v>
      </c>
      <c r="N416" s="82">
        <v>0</v>
      </c>
      <c r="O416" s="82">
        <v>0</v>
      </c>
      <c r="P416" s="82">
        <v>0</v>
      </c>
      <c r="Q416" s="82">
        <v>0</v>
      </c>
      <c r="R416" s="82">
        <v>0</v>
      </c>
      <c r="S416" s="82">
        <f>+Tabla1[[#This Row],[Neto]]*3.6%</f>
        <v>1620.0000000000002</v>
      </c>
      <c r="T416" s="82">
        <v>0</v>
      </c>
      <c r="U416" s="82">
        <f>+SUM(Tabla1[[#This Row],[IVA 21%]:[IVA 27%]])</f>
        <v>9450</v>
      </c>
      <c r="V416" s="10">
        <f>+SUM(Tabla1[[#This Row],[Neto]:[Impuestos Internos / Otros Tributos]])</f>
        <v>56070</v>
      </c>
      <c r="W416" s="10">
        <f>+Tabla1[[#This Row],[Total]]</f>
        <v>56070</v>
      </c>
      <c r="X416" s="82">
        <v>91265.4</v>
      </c>
      <c r="Y416" s="49" t="s">
        <v>324</v>
      </c>
      <c r="AA416" s="107">
        <v>45610</v>
      </c>
      <c r="AB416" s="82">
        <v>5364577.5199999996</v>
      </c>
      <c r="AC416" s="81"/>
      <c r="AD416" s="81"/>
      <c r="AE416" s="81"/>
      <c r="AF416" s="81"/>
      <c r="AG416" s="81"/>
      <c r="AH416" s="82"/>
      <c r="AI416" s="81"/>
      <c r="AJ416" s="4" t="s">
        <v>963</v>
      </c>
    </row>
    <row r="417" spans="1:36" hidden="1" x14ac:dyDescent="0.3">
      <c r="A417" s="95" t="s">
        <v>337</v>
      </c>
      <c r="B417" s="96">
        <v>45590</v>
      </c>
      <c r="C417" s="97" t="s">
        <v>26</v>
      </c>
      <c r="D417" s="95" t="s">
        <v>58</v>
      </c>
      <c r="E417" s="98" t="s">
        <v>32</v>
      </c>
      <c r="F417" s="98" t="s">
        <v>707</v>
      </c>
      <c r="G417" s="99" t="s">
        <v>352</v>
      </c>
      <c r="H417" s="99">
        <v>30709932361</v>
      </c>
      <c r="I417" s="99" t="s">
        <v>142</v>
      </c>
      <c r="J417" s="95" t="s">
        <v>381</v>
      </c>
      <c r="K417" s="173">
        <v>1</v>
      </c>
      <c r="L417" s="100">
        <v>133501.56</v>
      </c>
      <c r="M417" s="100">
        <f>+Tabla1[[#This Row],[Neto]]*21%</f>
        <v>28035.327599999997</v>
      </c>
      <c r="N417" s="100">
        <v>0</v>
      </c>
      <c r="O417" s="100">
        <v>0</v>
      </c>
      <c r="P417" s="100">
        <v>0</v>
      </c>
      <c r="Q417" s="100">
        <v>118125</v>
      </c>
      <c r="R417" s="100">
        <v>0</v>
      </c>
      <c r="S417" s="100">
        <v>0</v>
      </c>
      <c r="T417" s="100">
        <v>0</v>
      </c>
      <c r="U417" s="100">
        <f>+SUM(Tabla1[[#This Row],[IVA 21%]:[IVA 27%]])</f>
        <v>28035.327599999997</v>
      </c>
      <c r="V417" s="10">
        <f>+SUM(Tabla1[[#This Row],[Neto]:[Impuestos Internos / Otros Tributos]])</f>
        <v>279661.88760000002</v>
      </c>
      <c r="W417" s="10">
        <f>+Tabla1[[#This Row],[Total]]</f>
        <v>279661.88760000002</v>
      </c>
      <c r="X417" s="100">
        <v>0</v>
      </c>
      <c r="Y417" s="101" t="s">
        <v>325</v>
      </c>
      <c r="Z417" s="101"/>
      <c r="AA417" s="116"/>
      <c r="AB417" s="100"/>
      <c r="AC417" s="99"/>
      <c r="AD417" s="99"/>
      <c r="AE417" s="99"/>
      <c r="AF417" s="99"/>
      <c r="AG417" s="99"/>
      <c r="AH417" s="100"/>
      <c r="AI417" s="99"/>
      <c r="AJ417" s="188"/>
    </row>
    <row r="418" spans="1:36" hidden="1" x14ac:dyDescent="0.3">
      <c r="A418" s="95" t="s">
        <v>337</v>
      </c>
      <c r="B418" s="96">
        <v>45590</v>
      </c>
      <c r="C418" s="12" t="s">
        <v>26</v>
      </c>
      <c r="D418" s="8" t="s">
        <v>58</v>
      </c>
      <c r="E418" s="9" t="s">
        <v>74</v>
      </c>
      <c r="F418" s="9" t="s">
        <v>708</v>
      </c>
      <c r="G418" s="99" t="s">
        <v>363</v>
      </c>
      <c r="H418" s="4">
        <v>30716688735</v>
      </c>
      <c r="I418" s="4" t="s">
        <v>142</v>
      </c>
      <c r="J418" s="8" t="s">
        <v>381</v>
      </c>
      <c r="K418" s="173">
        <v>1</v>
      </c>
      <c r="L418" s="100">
        <v>158773.22</v>
      </c>
      <c r="M418" s="100">
        <f>+Tabla1[[#This Row],[Neto]]*21%</f>
        <v>33342.376199999999</v>
      </c>
      <c r="N418" s="100">
        <v>0</v>
      </c>
      <c r="O418" s="100">
        <v>0</v>
      </c>
      <c r="P418" s="100">
        <v>0</v>
      </c>
      <c r="Q418" s="100">
        <v>183760</v>
      </c>
      <c r="R418" s="100">
        <v>0</v>
      </c>
      <c r="S418" s="100">
        <v>0</v>
      </c>
      <c r="T418" s="100">
        <v>0</v>
      </c>
      <c r="U418" s="100">
        <f>+SUM(Tabla1[[#This Row],[IVA 21%]:[IVA 27%]])</f>
        <v>33342.376199999999</v>
      </c>
      <c r="V418" s="10">
        <f>+SUM(Tabla1[[#This Row],[Neto]:[Impuestos Internos / Otros Tributos]])</f>
        <v>375875.59620000003</v>
      </c>
      <c r="W418" s="39">
        <f>+Tabla1[[#This Row],[Total]]</f>
        <v>375875.59620000003</v>
      </c>
      <c r="X418" s="100">
        <v>5192.0217999999995</v>
      </c>
      <c r="Y418" s="49" t="s">
        <v>324</v>
      </c>
      <c r="AA418" s="116">
        <v>45625</v>
      </c>
      <c r="AB418" s="100">
        <f>+W279+Tabla1[[#This Row],[Total a Pagar]]-Tabla1[[#This Row],[SICORE]]</f>
        <v>526563.57075000007</v>
      </c>
      <c r="AC418" s="99"/>
      <c r="AD418" s="99"/>
      <c r="AE418" s="99"/>
      <c r="AF418" s="99"/>
      <c r="AG418" s="99"/>
      <c r="AH418" s="100">
        <v>0</v>
      </c>
      <c r="AI418" s="99"/>
      <c r="AJ418" s="188"/>
    </row>
    <row r="419" spans="1:36" hidden="1" x14ac:dyDescent="0.3">
      <c r="A419" s="8" t="s">
        <v>337</v>
      </c>
      <c r="B419" s="79">
        <v>45590</v>
      </c>
      <c r="C419" s="80" t="s">
        <v>26</v>
      </c>
      <c r="D419" s="78" t="s">
        <v>403</v>
      </c>
      <c r="E419" s="9" t="s">
        <v>32</v>
      </c>
      <c r="F419" s="9" t="s">
        <v>743</v>
      </c>
      <c r="G419" s="81" t="s">
        <v>406</v>
      </c>
      <c r="H419" s="4">
        <v>30111111111</v>
      </c>
      <c r="I419" s="81" t="s">
        <v>629</v>
      </c>
      <c r="J419" s="8" t="s">
        <v>381</v>
      </c>
      <c r="K419" s="173">
        <v>1</v>
      </c>
      <c r="L419" s="10">
        <v>4234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f>+SUM(Tabla1[[#This Row],[IVA 21%]:[IVA 27%]])</f>
        <v>0</v>
      </c>
      <c r="V419" s="10">
        <f>+SUM(Tabla1[[#This Row],[Neto]:[Impuestos Internos / Otros Tributos]])</f>
        <v>4234</v>
      </c>
      <c r="W419" s="10">
        <f>+Tabla1[[#This Row],[Total]]</f>
        <v>4234</v>
      </c>
      <c r="X419" s="10">
        <v>0</v>
      </c>
      <c r="Y419" s="49" t="s">
        <v>324</v>
      </c>
      <c r="AA419" s="109">
        <v>45590</v>
      </c>
      <c r="AB419" s="10">
        <v>0</v>
      </c>
      <c r="AH419" s="32">
        <f>+Tabla1[[#This Row],[Total a Pagar]]</f>
        <v>4234</v>
      </c>
      <c r="AJ419" s="188"/>
    </row>
    <row r="420" spans="1:36" hidden="1" x14ac:dyDescent="0.3">
      <c r="A420" s="8" t="s">
        <v>337</v>
      </c>
      <c r="B420" s="53">
        <v>45590</v>
      </c>
      <c r="C420" s="37" t="s">
        <v>434</v>
      </c>
      <c r="D420" s="8" t="s">
        <v>403</v>
      </c>
      <c r="E420" s="9" t="s">
        <v>28</v>
      </c>
      <c r="F420" s="9" t="s">
        <v>743</v>
      </c>
      <c r="G420" s="4" t="s">
        <v>406</v>
      </c>
      <c r="H420" s="4">
        <v>30111111111</v>
      </c>
      <c r="I420" s="4" t="s">
        <v>405</v>
      </c>
      <c r="J420" s="8" t="s">
        <v>381</v>
      </c>
      <c r="K420" s="173">
        <v>1</v>
      </c>
      <c r="L420" s="10">
        <v>13000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f>+SUM(Tabla1[[#This Row],[IVA 21%]:[IVA 27%]])</f>
        <v>0</v>
      </c>
      <c r="V420" s="10">
        <f>+SUM(Tabla1[[#This Row],[Neto]:[Impuestos Internos / Otros Tributos]])</f>
        <v>13000</v>
      </c>
      <c r="W420" s="10">
        <f>+Tabla1[[#This Row],[Total]]</f>
        <v>13000</v>
      </c>
      <c r="X420" s="10">
        <v>0</v>
      </c>
      <c r="Y420" s="49" t="s">
        <v>324</v>
      </c>
      <c r="AA420" s="109">
        <v>45590</v>
      </c>
      <c r="AB420" s="10">
        <v>0</v>
      </c>
      <c r="AH420" s="32">
        <f>+Tabla1[[#This Row],[Total a Pagar]]</f>
        <v>13000</v>
      </c>
      <c r="AJ420" s="188"/>
    </row>
    <row r="421" spans="1:36" hidden="1" x14ac:dyDescent="0.3">
      <c r="A421" s="8" t="s">
        <v>337</v>
      </c>
      <c r="B421" s="53">
        <v>45590</v>
      </c>
      <c r="C421" s="37" t="s">
        <v>434</v>
      </c>
      <c r="D421" s="8" t="s">
        <v>403</v>
      </c>
      <c r="E421" s="9" t="s">
        <v>37</v>
      </c>
      <c r="F421" s="9" t="s">
        <v>743</v>
      </c>
      <c r="G421" s="4" t="s">
        <v>406</v>
      </c>
      <c r="H421" s="4">
        <v>30111111111</v>
      </c>
      <c r="I421" s="4" t="s">
        <v>405</v>
      </c>
      <c r="J421" s="8" t="s">
        <v>381</v>
      </c>
      <c r="K421" s="173">
        <v>1</v>
      </c>
      <c r="L421" s="10">
        <v>3500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f>+SUM(Tabla1[[#This Row],[IVA 21%]:[IVA 27%]])</f>
        <v>0</v>
      </c>
      <c r="V421" s="10">
        <f>+SUM(Tabla1[[#This Row],[Neto]:[Impuestos Internos / Otros Tributos]])</f>
        <v>3500</v>
      </c>
      <c r="W421" s="10">
        <f>+Tabla1[[#This Row],[Total]]</f>
        <v>3500</v>
      </c>
      <c r="X421" s="10">
        <v>0</v>
      </c>
      <c r="Y421" s="49" t="s">
        <v>324</v>
      </c>
      <c r="AA421" s="109">
        <v>45590</v>
      </c>
      <c r="AB421" s="10">
        <v>0</v>
      </c>
      <c r="AH421" s="32">
        <f>+Tabla1[[#This Row],[Total a Pagar]]</f>
        <v>3500</v>
      </c>
      <c r="AJ421" s="188"/>
    </row>
    <row r="422" spans="1:36" ht="13.95" hidden="1" customHeight="1" x14ac:dyDescent="0.3">
      <c r="A422" s="8" t="s">
        <v>337</v>
      </c>
      <c r="B422" s="53">
        <v>45591</v>
      </c>
      <c r="C422" s="12" t="s">
        <v>26</v>
      </c>
      <c r="D422" s="8" t="s">
        <v>58</v>
      </c>
      <c r="E422" s="9" t="s">
        <v>439</v>
      </c>
      <c r="F422" s="9" t="s">
        <v>673</v>
      </c>
      <c r="G422" s="4" t="s">
        <v>441</v>
      </c>
      <c r="H422" s="38">
        <v>30518408689</v>
      </c>
      <c r="I422" s="38" t="s">
        <v>442</v>
      </c>
      <c r="J422" s="8" t="s">
        <v>381</v>
      </c>
      <c r="K422" s="173">
        <v>1</v>
      </c>
      <c r="L422" s="10">
        <v>32550.85</v>
      </c>
      <c r="M422" s="10">
        <f>+Tabla1[[#This Row],[Neto]]*21%</f>
        <v>6835.6784999999991</v>
      </c>
      <c r="N422" s="10">
        <v>0</v>
      </c>
      <c r="O422" s="10">
        <v>0</v>
      </c>
      <c r="P422" s="10">
        <v>0</v>
      </c>
      <c r="Q422" s="10">
        <v>0</v>
      </c>
      <c r="R422" s="10">
        <f>+Tabla1[[#This Row],[Neto]]*3%</f>
        <v>976.52549999999997</v>
      </c>
      <c r="S422" s="10">
        <v>1265.9000000000001</v>
      </c>
      <c r="T422" s="10">
        <f>139.97+2613.47</f>
        <v>2753.4399999999996</v>
      </c>
      <c r="U422" s="10">
        <f>+SUM(Tabla1[[#This Row],[IVA 21%]:[IVA 27%]])</f>
        <v>6835.6784999999991</v>
      </c>
      <c r="V422" s="10">
        <f>+SUM(Tabla1[[#This Row],[Neto]:[Impuestos Internos / Otros Tributos]])</f>
        <v>44382.394000000008</v>
      </c>
      <c r="W422" s="39">
        <f>+Tabla1[[#This Row],[Total]]</f>
        <v>44382.394000000008</v>
      </c>
      <c r="X422" s="10">
        <v>0</v>
      </c>
      <c r="Y422" s="49" t="s">
        <v>324</v>
      </c>
      <c r="AA422" s="109"/>
      <c r="AJ422" s="188"/>
    </row>
    <row r="423" spans="1:36" ht="13.95" hidden="1" customHeight="1" x14ac:dyDescent="0.3">
      <c r="A423" s="8" t="s">
        <v>337</v>
      </c>
      <c r="B423" s="53">
        <v>45593</v>
      </c>
      <c r="C423" s="12" t="s">
        <v>26</v>
      </c>
      <c r="D423" s="8" t="s">
        <v>58</v>
      </c>
      <c r="E423" s="9" t="s">
        <v>74</v>
      </c>
      <c r="F423" s="9" t="s">
        <v>694</v>
      </c>
      <c r="G423" s="4" t="s">
        <v>601</v>
      </c>
      <c r="H423" s="4">
        <v>30592615661</v>
      </c>
      <c r="I423" s="4" t="s">
        <v>695</v>
      </c>
      <c r="J423" s="8" t="s">
        <v>381</v>
      </c>
      <c r="K423" s="173">
        <v>1</v>
      </c>
      <c r="L423" s="10">
        <v>124395.91</v>
      </c>
      <c r="M423" s="10">
        <f>+Tabla1[[#This Row],[Neto]]*21%</f>
        <v>26123.141100000001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f>+Tabla1[[#This Row],[Neto]]*1.8%</f>
        <v>2239.1263800000002</v>
      </c>
      <c r="U423" s="10">
        <f>+SUM(Tabla1[[#This Row],[IVA 21%]:[IVA 27%]])</f>
        <v>26123.141100000001</v>
      </c>
      <c r="V423" s="10">
        <f>+SUM(Tabla1[[#This Row],[Neto]:[Impuestos Internos / Otros Tributos]])</f>
        <v>152758.17748000001</v>
      </c>
      <c r="W423" s="10">
        <f>+Tabla1[[#This Row],[Total]]</f>
        <v>152758.17748000001</v>
      </c>
      <c r="X423" s="10">
        <v>0</v>
      </c>
      <c r="Y423" s="49" t="s">
        <v>325</v>
      </c>
      <c r="AA423" s="109"/>
      <c r="AJ423" s="188"/>
    </row>
    <row r="424" spans="1:36" hidden="1" x14ac:dyDescent="0.3">
      <c r="A424" s="87" t="s">
        <v>337</v>
      </c>
      <c r="B424" s="88">
        <v>45593</v>
      </c>
      <c r="C424" s="12" t="s">
        <v>26</v>
      </c>
      <c r="D424" s="8" t="s">
        <v>58</v>
      </c>
      <c r="E424" s="9" t="s">
        <v>390</v>
      </c>
      <c r="F424" s="9" t="s">
        <v>696</v>
      </c>
      <c r="G424" s="89" t="s">
        <v>392</v>
      </c>
      <c r="H424" s="4">
        <v>30557717400</v>
      </c>
      <c r="I424" s="4" t="s">
        <v>698</v>
      </c>
      <c r="J424" s="8" t="s">
        <v>381</v>
      </c>
      <c r="K424" s="173">
        <v>1</v>
      </c>
      <c r="L424" s="90">
        <v>98400.19</v>
      </c>
      <c r="M424" s="90">
        <f>+Tabla1[[#This Row],[Neto]]*21%</f>
        <v>20664.0399</v>
      </c>
      <c r="N424" s="90">
        <v>0</v>
      </c>
      <c r="O424" s="90">
        <v>0</v>
      </c>
      <c r="P424" s="90">
        <v>0</v>
      </c>
      <c r="Q424" s="90">
        <v>0</v>
      </c>
      <c r="R424" s="90">
        <v>0</v>
      </c>
      <c r="S424" s="90">
        <v>4461.1899999999996</v>
      </c>
      <c r="T424" s="90">
        <v>0</v>
      </c>
      <c r="U424" s="90">
        <f>+SUM(Tabla1[[#This Row],[IVA 21%]:[IVA 27%]])</f>
        <v>20664.0399</v>
      </c>
      <c r="V424" s="10">
        <f>+SUM(Tabla1[[#This Row],[Neto]:[Impuestos Internos / Otros Tributos]])</f>
        <v>123525.41990000001</v>
      </c>
      <c r="W424" s="10">
        <f>+Tabla1[[#This Row],[Total]]</f>
        <v>123525.41990000001</v>
      </c>
      <c r="X424" s="90">
        <v>0</v>
      </c>
      <c r="Y424" s="91" t="s">
        <v>324</v>
      </c>
      <c r="Z424" s="91"/>
      <c r="AA424" s="113">
        <v>45590</v>
      </c>
      <c r="AB424" s="92">
        <f>+Tabla1[[#This Row],[Total a Pagar]]</f>
        <v>123525.41990000001</v>
      </c>
      <c r="AC424" s="89"/>
      <c r="AD424" s="89"/>
      <c r="AE424" s="89"/>
      <c r="AF424" s="89"/>
      <c r="AG424" s="89"/>
      <c r="AH424" s="90">
        <v>0</v>
      </c>
      <c r="AI424" s="89"/>
      <c r="AJ424" s="188"/>
    </row>
    <row r="425" spans="1:36" ht="13.95" hidden="1" customHeight="1" x14ac:dyDescent="0.3">
      <c r="A425" s="87" t="s">
        <v>337</v>
      </c>
      <c r="B425" s="88">
        <v>45594</v>
      </c>
      <c r="C425" s="93" t="s">
        <v>26</v>
      </c>
      <c r="D425" s="87" t="s">
        <v>27</v>
      </c>
      <c r="E425" s="94" t="s">
        <v>28</v>
      </c>
      <c r="F425" s="94" t="s">
        <v>432</v>
      </c>
      <c r="G425" s="89" t="s">
        <v>366</v>
      </c>
      <c r="H425" s="89">
        <v>20283782280</v>
      </c>
      <c r="I425" s="89" t="s">
        <v>416</v>
      </c>
      <c r="J425" s="87" t="s">
        <v>381</v>
      </c>
      <c r="K425" s="173">
        <v>1</v>
      </c>
      <c r="L425" s="90">
        <v>295000</v>
      </c>
      <c r="M425" s="90">
        <v>0</v>
      </c>
      <c r="N425" s="90">
        <v>0</v>
      </c>
      <c r="O425" s="90">
        <v>0</v>
      </c>
      <c r="P425" s="90">
        <v>0</v>
      </c>
      <c r="Q425" s="90">
        <v>0</v>
      </c>
      <c r="R425" s="90">
        <v>0</v>
      </c>
      <c r="S425" s="90">
        <v>0</v>
      </c>
      <c r="T425" s="90">
        <v>0</v>
      </c>
      <c r="U425" s="90">
        <f>+SUM(Tabla1[[#This Row],[IVA 21%]:[IVA 27%]])</f>
        <v>0</v>
      </c>
      <c r="V425" s="10">
        <f>+SUM(Tabla1[[#This Row],[Neto]:[Impuestos Internos / Otros Tributos]])</f>
        <v>295000</v>
      </c>
      <c r="W425" s="10">
        <f>+Tabla1[[#This Row],[Total]]</f>
        <v>295000</v>
      </c>
      <c r="X425" s="90">
        <v>0</v>
      </c>
      <c r="Y425" s="14" t="s">
        <v>324</v>
      </c>
      <c r="Z425" s="14"/>
      <c r="AA425" s="113">
        <v>45615</v>
      </c>
      <c r="AB425" s="92">
        <f>+Tabla1[[#This Row],[Total a Pagar]]</f>
        <v>295000</v>
      </c>
      <c r="AC425" s="89"/>
      <c r="AD425" s="89"/>
      <c r="AE425" s="89"/>
      <c r="AF425" s="89"/>
      <c r="AG425" s="89"/>
      <c r="AH425" s="90">
        <v>0</v>
      </c>
      <c r="AI425" s="89"/>
      <c r="AJ425" s="188"/>
    </row>
    <row r="426" spans="1:36" hidden="1" x14ac:dyDescent="0.3">
      <c r="A426" s="95" t="s">
        <v>337</v>
      </c>
      <c r="B426" s="96">
        <v>45594</v>
      </c>
      <c r="C426" s="97" t="s">
        <v>26</v>
      </c>
      <c r="D426" s="95" t="s">
        <v>58</v>
      </c>
      <c r="E426" s="98" t="s">
        <v>37</v>
      </c>
      <c r="F426" s="98" t="s">
        <v>705</v>
      </c>
      <c r="G426" s="99" t="s">
        <v>661</v>
      </c>
      <c r="H426" s="99">
        <v>20203998091</v>
      </c>
      <c r="I426" s="99" t="s">
        <v>142</v>
      </c>
      <c r="J426" s="95" t="s">
        <v>381</v>
      </c>
      <c r="K426" s="173">
        <v>1</v>
      </c>
      <c r="L426" s="100">
        <v>47084.78</v>
      </c>
      <c r="M426" s="100">
        <f>+Tabla1[[#This Row],[Neto]]*21%</f>
        <v>9887.8037999999997</v>
      </c>
      <c r="N426" s="100">
        <v>0</v>
      </c>
      <c r="O426" s="100">
        <v>0</v>
      </c>
      <c r="P426" s="100">
        <v>0</v>
      </c>
      <c r="Q426" s="100">
        <v>0</v>
      </c>
      <c r="R426" s="100">
        <v>0</v>
      </c>
      <c r="S426" s="100">
        <v>0</v>
      </c>
      <c r="T426" s="100"/>
      <c r="U426" s="100">
        <f>+SUM(Tabla1[[#This Row],[IVA 21%]:[IVA 27%]])</f>
        <v>9887.8037999999997</v>
      </c>
      <c r="V426" s="10">
        <f>+SUM(Tabla1[[#This Row],[Neto]:[Impuestos Internos / Otros Tributos]])</f>
        <v>56972.5838</v>
      </c>
      <c r="W426" s="10">
        <f>+Tabla1[[#This Row],[Total]]</f>
        <v>56972.5838</v>
      </c>
      <c r="X426" s="100"/>
      <c r="Y426" s="101" t="s">
        <v>325</v>
      </c>
      <c r="Z426" s="101"/>
      <c r="AA426" s="116"/>
      <c r="AB426" s="100"/>
      <c r="AC426" s="99"/>
      <c r="AD426" s="99"/>
      <c r="AE426" s="99"/>
      <c r="AF426" s="99"/>
      <c r="AG426" s="99"/>
      <c r="AH426" s="100"/>
      <c r="AI426" s="99"/>
      <c r="AJ426" s="188"/>
    </row>
    <row r="427" spans="1:36" hidden="1" x14ac:dyDescent="0.3">
      <c r="A427" s="78" t="s">
        <v>337</v>
      </c>
      <c r="B427" s="79">
        <v>45595</v>
      </c>
      <c r="C427" s="12" t="s">
        <v>26</v>
      </c>
      <c r="D427" s="8" t="s">
        <v>58</v>
      </c>
      <c r="E427" s="9" t="s">
        <v>113</v>
      </c>
      <c r="F427" s="9" t="s">
        <v>765</v>
      </c>
      <c r="G427" s="4" t="s">
        <v>690</v>
      </c>
      <c r="H427" s="81">
        <v>20304199483</v>
      </c>
      <c r="I427" s="4" t="s">
        <v>766</v>
      </c>
      <c r="J427" s="8" t="s">
        <v>381</v>
      </c>
      <c r="K427" s="173">
        <v>1</v>
      </c>
      <c r="L427" s="10">
        <v>5123.97</v>
      </c>
      <c r="M427" s="10">
        <f>+Tabla1[[#This Row],[Neto]]*21%</f>
        <v>1076.0337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f>+SUM(Tabla1[[#This Row],[IVA 21%]:[IVA 27%]])</f>
        <v>1076.0337</v>
      </c>
      <c r="V427" s="10">
        <f>+SUM(Tabla1[[#This Row],[Neto]:[Impuestos Internos / Otros Tributos]])</f>
        <v>6200.0037000000002</v>
      </c>
      <c r="W427" s="10">
        <f>+Tabla1[[#This Row],[Total]]</f>
        <v>6200.0037000000002</v>
      </c>
      <c r="X427" s="10">
        <v>0</v>
      </c>
      <c r="Y427" s="49" t="s">
        <v>324</v>
      </c>
      <c r="AA427" s="109">
        <v>45595</v>
      </c>
      <c r="AB427" s="10">
        <v>0</v>
      </c>
      <c r="AH427" s="32">
        <f>+Tabla1[[#This Row],[Total a Pagar]]</f>
        <v>6200.0037000000002</v>
      </c>
      <c r="AJ427" s="188"/>
    </row>
    <row r="428" spans="1:36" hidden="1" x14ac:dyDescent="0.3">
      <c r="A428" s="102" t="s">
        <v>337</v>
      </c>
      <c r="B428" s="103">
        <v>45595</v>
      </c>
      <c r="C428" s="118" t="s">
        <v>26</v>
      </c>
      <c r="D428" s="102" t="s">
        <v>70</v>
      </c>
      <c r="E428" s="121" t="s">
        <v>418</v>
      </c>
      <c r="F428" s="121" t="s">
        <v>784</v>
      </c>
      <c r="G428" s="104" t="s">
        <v>785</v>
      </c>
      <c r="H428" s="104">
        <v>30715897497</v>
      </c>
      <c r="I428" s="104" t="s">
        <v>786</v>
      </c>
      <c r="J428" s="102" t="s">
        <v>381</v>
      </c>
      <c r="K428" s="173">
        <v>1</v>
      </c>
      <c r="L428" s="105">
        <v>15400</v>
      </c>
      <c r="M428" s="105">
        <v>0</v>
      </c>
      <c r="N428" s="105">
        <v>0</v>
      </c>
      <c r="O428" s="105">
        <v>0</v>
      </c>
      <c r="P428" s="105">
        <v>0</v>
      </c>
      <c r="Q428" s="105">
        <v>0</v>
      </c>
      <c r="R428" s="105">
        <v>0</v>
      </c>
      <c r="S428" s="105">
        <v>0</v>
      </c>
      <c r="T428" s="105">
        <v>0</v>
      </c>
      <c r="U428" s="105">
        <f>+SUM(Tabla1[[#This Row],[IVA 21%]:[IVA 27%]])</f>
        <v>0</v>
      </c>
      <c r="V428" s="10">
        <f>+SUM(Tabla1[[#This Row],[Neto]:[Impuestos Internos / Otros Tributos]])</f>
        <v>15400</v>
      </c>
      <c r="W428" s="10">
        <f>+Tabla1[[#This Row],[Total]]</f>
        <v>15400</v>
      </c>
      <c r="X428" s="105">
        <v>0</v>
      </c>
      <c r="Y428" s="119" t="s">
        <v>324</v>
      </c>
      <c r="Z428" s="119"/>
      <c r="AA428" s="117">
        <v>45595</v>
      </c>
      <c r="AB428" s="105">
        <v>0</v>
      </c>
      <c r="AC428" s="104"/>
      <c r="AD428" s="104"/>
      <c r="AE428" s="104"/>
      <c r="AF428" s="104"/>
      <c r="AG428" s="104"/>
      <c r="AH428" s="120">
        <f>+Tabla1[[#This Row],[Total a Pagar]]</f>
        <v>15400</v>
      </c>
      <c r="AI428" s="104"/>
      <c r="AJ428" s="188"/>
    </row>
    <row r="429" spans="1:36" ht="13.95" hidden="1" customHeight="1" x14ac:dyDescent="0.3">
      <c r="A429" s="102" t="s">
        <v>337</v>
      </c>
      <c r="B429" s="103">
        <v>45595</v>
      </c>
      <c r="C429" s="12" t="s">
        <v>26</v>
      </c>
      <c r="D429" s="8" t="s">
        <v>58</v>
      </c>
      <c r="E429" s="9" t="s">
        <v>32</v>
      </c>
      <c r="F429" s="9" t="s">
        <v>813</v>
      </c>
      <c r="G429" s="104" t="s">
        <v>814</v>
      </c>
      <c r="H429" s="104">
        <v>30714408956</v>
      </c>
      <c r="I429" s="4" t="s">
        <v>961</v>
      </c>
      <c r="J429" s="102" t="s">
        <v>381</v>
      </c>
      <c r="K429" s="173">
        <v>1</v>
      </c>
      <c r="L429" s="105">
        <v>0</v>
      </c>
      <c r="M429" s="105">
        <v>0</v>
      </c>
      <c r="N429" s="105">
        <v>0</v>
      </c>
      <c r="O429" s="105">
        <v>0</v>
      </c>
      <c r="P429" s="105">
        <v>0</v>
      </c>
      <c r="Q429" s="105">
        <v>2385500</v>
      </c>
      <c r="R429" s="105">
        <v>0</v>
      </c>
      <c r="S429" s="105">
        <v>0</v>
      </c>
      <c r="T429" s="105">
        <v>0</v>
      </c>
      <c r="U429" s="105">
        <f>+SUM(Tabla1[[#This Row],[IVA 21%]:[IVA 27%]])</f>
        <v>0</v>
      </c>
      <c r="V429" s="10">
        <f>+SUM(Tabla1[[#This Row],[Neto]:[Impuestos Internos / Otros Tributos]])</f>
        <v>2385500</v>
      </c>
      <c r="W429" s="39">
        <f>+Tabla1[[#This Row],[Total]]</f>
        <v>2385500</v>
      </c>
      <c r="X429" s="105"/>
      <c r="Y429" s="49" t="s">
        <v>324</v>
      </c>
      <c r="AA429" s="117">
        <v>45624</v>
      </c>
      <c r="AB429" s="105">
        <v>71565</v>
      </c>
      <c r="AC429" s="104"/>
      <c r="AD429" s="104"/>
      <c r="AE429" s="104"/>
      <c r="AF429" s="104"/>
      <c r="AG429" s="104"/>
      <c r="AH429" s="105">
        <v>0</v>
      </c>
      <c r="AI429" s="104"/>
      <c r="AJ429" s="188"/>
    </row>
    <row r="430" spans="1:36" ht="13.95" hidden="1" customHeight="1" x14ac:dyDescent="0.3">
      <c r="A430" s="8" t="s">
        <v>337</v>
      </c>
      <c r="B430" s="53">
        <v>45595</v>
      </c>
      <c r="C430" s="12" t="s">
        <v>26</v>
      </c>
      <c r="D430" s="8" t="s">
        <v>58</v>
      </c>
      <c r="E430" s="9" t="s">
        <v>124</v>
      </c>
      <c r="F430" s="9" t="s">
        <v>874</v>
      </c>
      <c r="G430" s="4" t="s">
        <v>126</v>
      </c>
      <c r="H430" s="4">
        <v>30716596881</v>
      </c>
      <c r="I430" s="4" t="s">
        <v>442</v>
      </c>
      <c r="J430" s="8" t="s">
        <v>381</v>
      </c>
      <c r="K430" s="173">
        <v>1</v>
      </c>
      <c r="L430" s="10">
        <v>11404.96</v>
      </c>
      <c r="M430" s="10">
        <f>+Tabla1[[#This Row],[Neto]]*21%</f>
        <v>2395.0415999999996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f>+SUM(Tabla1[[#This Row],[IVA 21%]:[IVA 27%]])</f>
        <v>2395.0415999999996</v>
      </c>
      <c r="V430" s="10">
        <f>+SUM(Tabla1[[#This Row],[Neto]:[Impuestos Internos / Otros Tributos]])</f>
        <v>13800.0016</v>
      </c>
      <c r="W430" s="10">
        <f>+Tabla1[[#This Row],[Total]]</f>
        <v>13800.0016</v>
      </c>
      <c r="X430" s="10">
        <v>0</v>
      </c>
      <c r="Y430" s="49" t="s">
        <v>324</v>
      </c>
      <c r="AA430" s="109"/>
      <c r="AJ430" s="188"/>
    </row>
    <row r="431" spans="1:36" ht="13.95" hidden="1" customHeight="1" x14ac:dyDescent="0.3">
      <c r="A431" s="8" t="s">
        <v>337</v>
      </c>
      <c r="B431" s="53">
        <v>45596</v>
      </c>
      <c r="C431" s="12" t="s">
        <v>26</v>
      </c>
      <c r="D431" s="8" t="s">
        <v>58</v>
      </c>
      <c r="E431" s="9" t="s">
        <v>767</v>
      </c>
      <c r="F431" s="9" t="s">
        <v>739</v>
      </c>
      <c r="G431" s="104" t="s">
        <v>763</v>
      </c>
      <c r="H431" s="4">
        <v>30583516790</v>
      </c>
      <c r="I431" s="4" t="s">
        <v>96</v>
      </c>
      <c r="J431" s="8" t="s">
        <v>381</v>
      </c>
      <c r="K431" s="173">
        <v>1</v>
      </c>
      <c r="L431" s="105">
        <v>47389.919999999998</v>
      </c>
      <c r="M431" s="105">
        <f>+Tabla1[[#This Row],[Neto]]*21%</f>
        <v>9951.8831999999984</v>
      </c>
      <c r="N431" s="105">
        <v>0</v>
      </c>
      <c r="O431" s="105">
        <v>0</v>
      </c>
      <c r="P431" s="105">
        <v>0</v>
      </c>
      <c r="Q431" s="105">
        <v>0</v>
      </c>
      <c r="R431" s="105">
        <v>0</v>
      </c>
      <c r="S431" s="105">
        <v>0</v>
      </c>
      <c r="T431" s="105">
        <v>0</v>
      </c>
      <c r="U431" s="105">
        <f>+SUM(Tabla1[[#This Row],[IVA 21%]:[IVA 27%]])</f>
        <v>9951.8831999999984</v>
      </c>
      <c r="V431" s="10">
        <f>+SUM(Tabla1[[#This Row],[Neto]:[Impuestos Internos / Otros Tributos]])</f>
        <v>57341.803199999995</v>
      </c>
      <c r="W431" s="82">
        <f>+Tabla1[[#This Row],[Total]]</f>
        <v>57341.803199999995</v>
      </c>
      <c r="X431" s="105">
        <v>0</v>
      </c>
      <c r="Y431" s="119" t="s">
        <v>324</v>
      </c>
      <c r="Z431" s="119"/>
      <c r="AA431" s="117">
        <v>45596</v>
      </c>
      <c r="AB431" s="105">
        <v>0</v>
      </c>
      <c r="AC431" s="104"/>
      <c r="AD431" s="104"/>
      <c r="AE431" s="104"/>
      <c r="AF431" s="104"/>
      <c r="AG431" s="104"/>
      <c r="AH431" s="120">
        <f>+Tabla1[[#This Row],[Total a Pagar]]</f>
        <v>57341.803199999995</v>
      </c>
      <c r="AI431" s="104"/>
      <c r="AJ431" s="188"/>
    </row>
    <row r="432" spans="1:36" ht="13.95" hidden="1" customHeight="1" x14ac:dyDescent="0.3">
      <c r="A432" s="78" t="s">
        <v>337</v>
      </c>
      <c r="B432" s="79">
        <v>45596</v>
      </c>
      <c r="C432" s="12" t="s">
        <v>26</v>
      </c>
      <c r="D432" s="8" t="s">
        <v>58</v>
      </c>
      <c r="E432" s="9" t="s">
        <v>113</v>
      </c>
      <c r="F432" s="9" t="s">
        <v>765</v>
      </c>
      <c r="G432" s="104" t="s">
        <v>690</v>
      </c>
      <c r="H432" s="81">
        <v>20304199483</v>
      </c>
      <c r="I432" s="104" t="s">
        <v>776</v>
      </c>
      <c r="J432" s="8" t="s">
        <v>381</v>
      </c>
      <c r="K432" s="173">
        <v>1</v>
      </c>
      <c r="L432" s="105">
        <v>25393.58</v>
      </c>
      <c r="M432" s="105">
        <f>15619.83*21%</f>
        <v>3280.1642999999999</v>
      </c>
      <c r="N432" s="105">
        <f>9773.75*10.5%</f>
        <v>1026.2437499999999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0.01</v>
      </c>
      <c r="U432" s="105">
        <f>+SUM(Tabla1[[#This Row],[IVA 21%]:[IVA 27%]])</f>
        <v>4306.40805</v>
      </c>
      <c r="V432" s="10">
        <f>+SUM(Tabla1[[#This Row],[Neto]:[Impuestos Internos / Otros Tributos]])</f>
        <v>29699.998050000002</v>
      </c>
      <c r="W432" s="10">
        <f>+Tabla1[[#This Row],[Total]]</f>
        <v>29699.998050000002</v>
      </c>
      <c r="X432" s="105">
        <v>0</v>
      </c>
      <c r="Y432" s="119" t="s">
        <v>324</v>
      </c>
      <c r="Z432" s="119"/>
      <c r="AA432" s="117">
        <v>45596</v>
      </c>
      <c r="AB432" s="105">
        <v>0</v>
      </c>
      <c r="AC432" s="104"/>
      <c r="AD432" s="104"/>
      <c r="AE432" s="104"/>
      <c r="AF432" s="104"/>
      <c r="AG432" s="104"/>
      <c r="AH432" s="120">
        <f>+Tabla1[[#This Row],[Total a Pagar]]</f>
        <v>29699.998050000002</v>
      </c>
      <c r="AI432" s="104"/>
      <c r="AJ432" s="188"/>
    </row>
    <row r="433" spans="1:36" ht="13.95" hidden="1" customHeight="1" x14ac:dyDescent="0.3">
      <c r="A433" s="102" t="s">
        <v>337</v>
      </c>
      <c r="B433" s="103">
        <v>45596</v>
      </c>
      <c r="C433" s="12" t="s">
        <v>641</v>
      </c>
      <c r="D433" s="102"/>
      <c r="E433" s="102"/>
      <c r="F433" s="9" t="s">
        <v>777</v>
      </c>
      <c r="G433" s="4" t="s">
        <v>465</v>
      </c>
      <c r="H433" s="104"/>
      <c r="I433" s="4" t="s">
        <v>778</v>
      </c>
      <c r="J433" s="102" t="s">
        <v>381</v>
      </c>
      <c r="K433" s="173">
        <v>1</v>
      </c>
      <c r="L433" s="105">
        <f>53500+35000+17500</f>
        <v>106000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f>+SUM(Tabla1[[#This Row],[IVA 21%]:[IVA 27%]])</f>
        <v>0</v>
      </c>
      <c r="V433" s="10">
        <f>+SUM(Tabla1[[#This Row],[Neto]:[Impuestos Internos / Otros Tributos]])</f>
        <v>106000</v>
      </c>
      <c r="W433" s="39">
        <f>+Tabla1[[#This Row],[Total]]</f>
        <v>106000</v>
      </c>
      <c r="X433" s="105">
        <v>0</v>
      </c>
      <c r="Y433" s="119" t="s">
        <v>324</v>
      </c>
      <c r="Z433" s="119"/>
      <c r="AA433" s="117">
        <v>45596</v>
      </c>
      <c r="AB433" s="105">
        <v>0</v>
      </c>
      <c r="AC433" s="104"/>
      <c r="AD433" s="104"/>
      <c r="AE433" s="104"/>
      <c r="AF433" s="104"/>
      <c r="AG433" s="104"/>
      <c r="AH433" s="120">
        <f>+Tabla1[[#This Row],[Total a Pagar]]</f>
        <v>106000</v>
      </c>
      <c r="AI433" s="104"/>
      <c r="AJ433" s="188"/>
    </row>
    <row r="434" spans="1:36" ht="13.95" hidden="1" customHeight="1" x14ac:dyDescent="0.3">
      <c r="A434" s="102" t="s">
        <v>337</v>
      </c>
      <c r="B434" s="103">
        <v>45596</v>
      </c>
      <c r="C434" s="118" t="s">
        <v>26</v>
      </c>
      <c r="D434" s="102" t="s">
        <v>403</v>
      </c>
      <c r="E434" s="121" t="s">
        <v>32</v>
      </c>
      <c r="F434" s="121" t="s">
        <v>777</v>
      </c>
      <c r="G434" s="104" t="s">
        <v>406</v>
      </c>
      <c r="H434" s="104">
        <v>30111111111</v>
      </c>
      <c r="I434" s="104" t="s">
        <v>629</v>
      </c>
      <c r="J434" s="102" t="s">
        <v>381</v>
      </c>
      <c r="K434" s="173">
        <v>1</v>
      </c>
      <c r="L434" s="105">
        <f>820+4019+4200+3960+3958</f>
        <v>16957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f>+SUM(Tabla1[[#This Row],[IVA 21%]:[IVA 27%]])</f>
        <v>0</v>
      </c>
      <c r="V434" s="10">
        <f>+SUM(Tabla1[[#This Row],[Neto]:[Impuestos Internos / Otros Tributos]])</f>
        <v>16957</v>
      </c>
      <c r="W434" s="10">
        <f>+Tabla1[[#This Row],[Total]]</f>
        <v>16957</v>
      </c>
      <c r="X434" s="105">
        <v>0</v>
      </c>
      <c r="Y434" s="119" t="s">
        <v>324</v>
      </c>
      <c r="Z434" s="119"/>
      <c r="AA434" s="117">
        <v>45596</v>
      </c>
      <c r="AB434" s="105">
        <v>0</v>
      </c>
      <c r="AC434" s="104"/>
      <c r="AD434" s="104"/>
      <c r="AE434" s="104"/>
      <c r="AF434" s="104"/>
      <c r="AG434" s="104"/>
      <c r="AH434" s="120">
        <f>+Tabla1[[#This Row],[Total a Pagar]]</f>
        <v>16957</v>
      </c>
      <c r="AI434" s="104"/>
      <c r="AJ434" s="188"/>
    </row>
    <row r="435" spans="1:36" hidden="1" x14ac:dyDescent="0.3">
      <c r="A435" s="102" t="s">
        <v>337</v>
      </c>
      <c r="B435" s="103">
        <v>45596</v>
      </c>
      <c r="C435" s="37" t="s">
        <v>434</v>
      </c>
      <c r="D435" s="8" t="s">
        <v>403</v>
      </c>
      <c r="E435" s="9" t="s">
        <v>28</v>
      </c>
      <c r="F435" s="9" t="s">
        <v>777</v>
      </c>
      <c r="G435" s="4" t="s">
        <v>406</v>
      </c>
      <c r="H435" s="4">
        <v>30111111111</v>
      </c>
      <c r="I435" s="104" t="s">
        <v>405</v>
      </c>
      <c r="J435" s="102" t="s">
        <v>381</v>
      </c>
      <c r="K435" s="173">
        <v>1</v>
      </c>
      <c r="L435" s="105">
        <f>4000+10500+6000+3500+5500+4600+4000+8000+3000+4500+3000+4500+3300</f>
        <v>64400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f>+SUM(Tabla1[[#This Row],[IVA 21%]:[IVA 27%]])</f>
        <v>0</v>
      </c>
      <c r="V435" s="10">
        <f>+SUM(Tabla1[[#This Row],[Neto]:[Impuestos Internos / Otros Tributos]])</f>
        <v>64400</v>
      </c>
      <c r="W435" s="10">
        <f>+Tabla1[[#This Row],[Total]]</f>
        <v>64400</v>
      </c>
      <c r="X435" s="105">
        <v>0</v>
      </c>
      <c r="Y435" s="119" t="s">
        <v>324</v>
      </c>
      <c r="Z435" s="119"/>
      <c r="AA435" s="117">
        <v>45596</v>
      </c>
      <c r="AB435" s="105">
        <v>0</v>
      </c>
      <c r="AC435" s="104"/>
      <c r="AD435" s="104"/>
      <c r="AE435" s="104"/>
      <c r="AF435" s="104"/>
      <c r="AG435" s="104"/>
      <c r="AH435" s="120">
        <f>+Tabla1[[#This Row],[Total a Pagar]]</f>
        <v>64400</v>
      </c>
      <c r="AI435" s="104"/>
      <c r="AJ435" s="188"/>
    </row>
    <row r="436" spans="1:36" hidden="1" x14ac:dyDescent="0.3">
      <c r="A436" s="102" t="s">
        <v>337</v>
      </c>
      <c r="B436" s="103">
        <v>45596</v>
      </c>
      <c r="C436" s="12" t="s">
        <v>26</v>
      </c>
      <c r="D436" s="8" t="s">
        <v>27</v>
      </c>
      <c r="E436" s="9" t="s">
        <v>28</v>
      </c>
      <c r="F436" s="9" t="s">
        <v>797</v>
      </c>
      <c r="G436" s="104" t="s">
        <v>217</v>
      </c>
      <c r="H436" s="4">
        <v>20406602681</v>
      </c>
      <c r="I436" s="4" t="s">
        <v>796</v>
      </c>
      <c r="J436" s="102" t="s">
        <v>381</v>
      </c>
      <c r="K436" s="173">
        <v>1</v>
      </c>
      <c r="L436" s="105">
        <v>700000</v>
      </c>
      <c r="M436" s="105">
        <v>0</v>
      </c>
      <c r="N436" s="105">
        <v>0</v>
      </c>
      <c r="O436" s="105">
        <v>0</v>
      </c>
      <c r="P436" s="105">
        <v>0</v>
      </c>
      <c r="Q436" s="105">
        <v>0</v>
      </c>
      <c r="R436" s="105">
        <v>0</v>
      </c>
      <c r="S436" s="105">
        <v>0</v>
      </c>
      <c r="T436" s="105">
        <v>0</v>
      </c>
      <c r="U436" s="105">
        <f>+SUM(Tabla1[[#This Row],[IVA 21%]:[IVA 27%]])</f>
        <v>0</v>
      </c>
      <c r="V436" s="10">
        <f>+SUM(Tabla1[[#This Row],[Neto]:[Impuestos Internos / Otros Tributos]])</f>
        <v>700000</v>
      </c>
      <c r="W436" s="10">
        <f>+V436</f>
        <v>700000</v>
      </c>
      <c r="X436" s="105">
        <v>0</v>
      </c>
      <c r="Y436" s="119" t="s">
        <v>324</v>
      </c>
      <c r="Z436" s="119"/>
      <c r="AA436" s="117">
        <v>45596</v>
      </c>
      <c r="AB436" s="120">
        <f>+Tabla1[[#This Row],[Total a Pagar]]</f>
        <v>700000</v>
      </c>
      <c r="AC436" s="104"/>
      <c r="AD436" s="104"/>
      <c r="AE436" s="104"/>
      <c r="AF436" s="104"/>
      <c r="AG436" s="104"/>
      <c r="AH436" s="105">
        <v>0</v>
      </c>
      <c r="AI436" s="104"/>
      <c r="AJ436" s="188"/>
    </row>
    <row r="437" spans="1:36" hidden="1" x14ac:dyDescent="0.3">
      <c r="A437" s="102" t="s">
        <v>337</v>
      </c>
      <c r="B437" s="103">
        <v>45596</v>
      </c>
      <c r="C437" s="12" t="s">
        <v>26</v>
      </c>
      <c r="D437" s="8" t="s">
        <v>58</v>
      </c>
      <c r="E437" s="9" t="s">
        <v>74</v>
      </c>
      <c r="F437" s="9" t="s">
        <v>820</v>
      </c>
      <c r="G437" s="4" t="s">
        <v>445</v>
      </c>
      <c r="H437" s="4">
        <v>30708764236</v>
      </c>
      <c r="I437" s="4" t="s">
        <v>819</v>
      </c>
      <c r="J437" s="8" t="s">
        <v>381</v>
      </c>
      <c r="K437" s="173">
        <v>1</v>
      </c>
      <c r="L437" s="105">
        <v>6873700.7300000004</v>
      </c>
      <c r="M437" s="105">
        <f>+Tabla1[[#This Row],[Neto]]*21%</f>
        <v>1443477.1533000001</v>
      </c>
      <c r="N437" s="105">
        <v>0</v>
      </c>
      <c r="O437" s="105">
        <v>0</v>
      </c>
      <c r="P437" s="105">
        <v>0</v>
      </c>
      <c r="Q437" s="105">
        <v>0</v>
      </c>
      <c r="R437" s="105">
        <v>0</v>
      </c>
      <c r="S437" s="105">
        <v>0</v>
      </c>
      <c r="T437" s="105">
        <v>0</v>
      </c>
      <c r="U437" s="105">
        <f>+SUM(Tabla1[[#This Row],[IVA 21%]:[IVA 27%]])</f>
        <v>1443477.1533000001</v>
      </c>
      <c r="V437" s="10">
        <f>+SUM(Tabla1[[#This Row],[Neto]:[Impuestos Internos / Otros Tributos]])</f>
        <v>8317177.8833000008</v>
      </c>
      <c r="W437" s="10">
        <f>+Tabla1[[#This Row],[Total]]</f>
        <v>8317177.8833000008</v>
      </c>
      <c r="X437" s="105"/>
      <c r="Y437" s="10" t="s">
        <v>325</v>
      </c>
      <c r="Z437" s="10"/>
      <c r="AA437" s="117"/>
      <c r="AB437" s="105"/>
      <c r="AC437" s="104"/>
      <c r="AD437" s="104"/>
      <c r="AE437" s="104"/>
      <c r="AF437" s="104"/>
      <c r="AG437" s="104"/>
      <c r="AH437" s="105"/>
      <c r="AI437" s="104"/>
      <c r="AJ437" s="188"/>
    </row>
    <row r="438" spans="1:36" hidden="1" x14ac:dyDescent="0.3">
      <c r="A438" s="102" t="s">
        <v>337</v>
      </c>
      <c r="B438" s="103">
        <v>45596</v>
      </c>
      <c r="C438" s="12" t="s">
        <v>26</v>
      </c>
      <c r="D438" s="8" t="s">
        <v>58</v>
      </c>
      <c r="E438" s="9" t="s">
        <v>74</v>
      </c>
      <c r="F438" s="9" t="s">
        <v>821</v>
      </c>
      <c r="G438" s="4" t="s">
        <v>445</v>
      </c>
      <c r="H438" s="4">
        <v>30708764236</v>
      </c>
      <c r="I438" s="4" t="s">
        <v>822</v>
      </c>
      <c r="J438" s="8" t="s">
        <v>381</v>
      </c>
      <c r="K438" s="173">
        <v>1</v>
      </c>
      <c r="L438" s="105">
        <v>74916.06</v>
      </c>
      <c r="M438" s="105">
        <f>+Tabla1[[#This Row],[Neto]]*21%</f>
        <v>15732.372599999999</v>
      </c>
      <c r="N438" s="105">
        <v>0</v>
      </c>
      <c r="O438" s="105">
        <v>0</v>
      </c>
      <c r="P438" s="105">
        <v>0</v>
      </c>
      <c r="Q438" s="105">
        <v>0</v>
      </c>
      <c r="R438" s="105">
        <v>0</v>
      </c>
      <c r="S438" s="105">
        <v>0</v>
      </c>
      <c r="T438" s="105">
        <v>0</v>
      </c>
      <c r="U438" s="105">
        <f>+SUM(Tabla1[[#This Row],[IVA 21%]:[IVA 27%]])</f>
        <v>15732.372599999999</v>
      </c>
      <c r="V438" s="10">
        <f>+SUM(Tabla1[[#This Row],[Neto]:[Impuestos Internos / Otros Tributos]])</f>
        <v>90648.4326</v>
      </c>
      <c r="W438" s="10">
        <f>+Tabla1[[#This Row],[Total]]</f>
        <v>90648.4326</v>
      </c>
      <c r="X438" s="105"/>
      <c r="Y438" s="10" t="s">
        <v>325</v>
      </c>
      <c r="Z438" s="10"/>
      <c r="AA438" s="117"/>
      <c r="AB438" s="105"/>
      <c r="AC438" s="104"/>
      <c r="AD438" s="104"/>
      <c r="AE438" s="104"/>
      <c r="AF438" s="104"/>
      <c r="AG438" s="104"/>
      <c r="AH438" s="105"/>
      <c r="AI438" s="104"/>
      <c r="AJ438" s="188"/>
    </row>
    <row r="439" spans="1:36" hidden="1" x14ac:dyDescent="0.3">
      <c r="A439" s="102" t="s">
        <v>337</v>
      </c>
      <c r="B439" s="103">
        <v>45596</v>
      </c>
      <c r="C439" s="12" t="s">
        <v>26</v>
      </c>
      <c r="D439" s="8" t="s">
        <v>58</v>
      </c>
      <c r="E439" s="9" t="s">
        <v>74</v>
      </c>
      <c r="F439" s="9" t="s">
        <v>823</v>
      </c>
      <c r="G439" s="4" t="s">
        <v>445</v>
      </c>
      <c r="H439" s="4">
        <v>30708764236</v>
      </c>
      <c r="I439" s="4" t="s">
        <v>824</v>
      </c>
      <c r="J439" s="8" t="s">
        <v>381</v>
      </c>
      <c r="K439" s="173">
        <v>1</v>
      </c>
      <c r="L439" s="105">
        <v>279242.09999999998</v>
      </c>
      <c r="M439" s="105">
        <f>+Tabla1[[#This Row],[Neto]]*21%</f>
        <v>58640.840999999993</v>
      </c>
      <c r="N439" s="105">
        <v>0</v>
      </c>
      <c r="O439" s="105">
        <v>0</v>
      </c>
      <c r="P439" s="105">
        <v>0</v>
      </c>
      <c r="Q439" s="105">
        <v>0</v>
      </c>
      <c r="R439" s="105">
        <v>0</v>
      </c>
      <c r="S439" s="105">
        <v>0</v>
      </c>
      <c r="T439" s="105">
        <v>0</v>
      </c>
      <c r="U439" s="105">
        <f>+SUM(Tabla1[[#This Row],[IVA 21%]:[IVA 27%]])</f>
        <v>58640.840999999993</v>
      </c>
      <c r="V439" s="10">
        <f>+SUM(Tabla1[[#This Row],[Neto]:[Impuestos Internos / Otros Tributos]])</f>
        <v>337882.94099999999</v>
      </c>
      <c r="W439" s="10">
        <f>+Tabla1[[#This Row],[Total]]</f>
        <v>337882.94099999999</v>
      </c>
      <c r="X439" s="105"/>
      <c r="Y439" s="10" t="s">
        <v>325</v>
      </c>
      <c r="Z439" s="10"/>
      <c r="AA439" s="117"/>
      <c r="AB439" s="105"/>
      <c r="AC439" s="104"/>
      <c r="AD439" s="104"/>
      <c r="AE439" s="104"/>
      <c r="AF439" s="104"/>
      <c r="AG439" s="104"/>
      <c r="AH439" s="105"/>
      <c r="AI439" s="104"/>
      <c r="AJ439" s="188"/>
    </row>
    <row r="440" spans="1:36" hidden="1" x14ac:dyDescent="0.3">
      <c r="A440" s="8" t="s">
        <v>337</v>
      </c>
      <c r="B440" s="53">
        <v>45596</v>
      </c>
      <c r="C440" s="12" t="s">
        <v>26</v>
      </c>
      <c r="D440" s="8" t="s">
        <v>58</v>
      </c>
      <c r="E440" s="9" t="s">
        <v>151</v>
      </c>
      <c r="F440" s="9" t="s">
        <v>864</v>
      </c>
      <c r="G440" s="4" t="s">
        <v>349</v>
      </c>
      <c r="H440" s="4">
        <v>30663625485</v>
      </c>
      <c r="I440" s="4" t="s">
        <v>863</v>
      </c>
      <c r="J440" s="8" t="s">
        <v>381</v>
      </c>
      <c r="K440" s="173">
        <v>1</v>
      </c>
      <c r="L440" s="10">
        <v>1778212.8</v>
      </c>
      <c r="M440" s="10">
        <f>+Tabla1[[#This Row],[Neto]]*21%</f>
        <v>373424.68800000002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/>
      <c r="U440" s="10">
        <f>+SUM(Tabla1[[#This Row],[IVA 21%]:[IVA 27%]])</f>
        <v>373424.68800000002</v>
      </c>
      <c r="V440" s="10">
        <f>+SUM(Tabla1[[#This Row],[Neto]:[Impuestos Internos / Otros Tributos]])</f>
        <v>2151637.4879999999</v>
      </c>
      <c r="W440" s="10">
        <f>+Tabla1[[#This Row],[Total]]</f>
        <v>2151637.4879999999</v>
      </c>
      <c r="X440" s="10"/>
      <c r="Y440" s="49" t="s">
        <v>325</v>
      </c>
      <c r="AA440" s="109"/>
      <c r="AJ440" s="188"/>
    </row>
    <row r="441" spans="1:36" hidden="1" x14ac:dyDescent="0.3">
      <c r="A441" s="8" t="s">
        <v>711</v>
      </c>
      <c r="B441" s="53">
        <v>45597</v>
      </c>
      <c r="C441" s="12" t="s">
        <v>26</v>
      </c>
      <c r="D441" s="8" t="s">
        <v>27</v>
      </c>
      <c r="E441" s="9" t="s">
        <v>37</v>
      </c>
      <c r="F441" s="9" t="s">
        <v>750</v>
      </c>
      <c r="G441" s="4" t="s">
        <v>78</v>
      </c>
      <c r="H441" s="4">
        <v>20105424605</v>
      </c>
      <c r="I441" s="4" t="s">
        <v>277</v>
      </c>
      <c r="J441" s="8" t="s">
        <v>381</v>
      </c>
      <c r="K441" s="173">
        <v>1</v>
      </c>
      <c r="L441" s="10">
        <v>23940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f>+SUM(Tabla1[[#This Row],[IVA 21%]:[IVA 27%]])</f>
        <v>0</v>
      </c>
      <c r="V441" s="10">
        <f>+SUM(Tabla1[[#This Row],[Neto]:[Impuestos Internos / Otros Tributos]])</f>
        <v>23940</v>
      </c>
      <c r="W441" s="10">
        <f>+Tabla1[[#This Row],[Total]]</f>
        <v>23940</v>
      </c>
      <c r="X441" s="10">
        <v>0</v>
      </c>
      <c r="Y441" s="49" t="s">
        <v>324</v>
      </c>
      <c r="AA441" s="109">
        <v>45597</v>
      </c>
      <c r="AB441" s="10">
        <v>0</v>
      </c>
      <c r="AH441" s="32">
        <f>+Tabla1[[#This Row],[Total a Pagar]]</f>
        <v>23940</v>
      </c>
      <c r="AJ441" s="188"/>
    </row>
    <row r="442" spans="1:36" hidden="1" x14ac:dyDescent="0.3">
      <c r="A442" s="102" t="s">
        <v>711</v>
      </c>
      <c r="B442" s="103">
        <v>45597</v>
      </c>
      <c r="C442" s="118" t="s">
        <v>641</v>
      </c>
      <c r="D442" s="102"/>
      <c r="E442" s="102"/>
      <c r="F442" s="102"/>
      <c r="G442" s="104" t="s">
        <v>787</v>
      </c>
      <c r="H442" s="104"/>
      <c r="I442" s="104" t="s">
        <v>791</v>
      </c>
      <c r="J442" s="102" t="s">
        <v>381</v>
      </c>
      <c r="K442" s="173">
        <v>1</v>
      </c>
      <c r="L442" s="105">
        <v>800000</v>
      </c>
      <c r="M442" s="105">
        <v>0</v>
      </c>
      <c r="N442" s="105">
        <v>0</v>
      </c>
      <c r="O442" s="105">
        <v>0</v>
      </c>
      <c r="P442" s="105">
        <v>0</v>
      </c>
      <c r="Q442" s="105">
        <v>0</v>
      </c>
      <c r="R442" s="105">
        <v>0</v>
      </c>
      <c r="S442" s="105">
        <v>0</v>
      </c>
      <c r="T442" s="105">
        <v>0</v>
      </c>
      <c r="U442" s="105">
        <f>+SUM(Tabla1[[#This Row],[IVA 21%]:[IVA 27%]])</f>
        <v>0</v>
      </c>
      <c r="V442" s="10">
        <f>+SUM(Tabla1[[#This Row],[Neto]:[Impuestos Internos / Otros Tributos]])</f>
        <v>800000</v>
      </c>
      <c r="W442" s="10">
        <f>+Tabla1[[#This Row],[Total]]</f>
        <v>800000</v>
      </c>
      <c r="X442" s="105">
        <v>0</v>
      </c>
      <c r="Y442" s="49" t="s">
        <v>324</v>
      </c>
      <c r="Z442" s="119"/>
      <c r="AA442" s="117"/>
      <c r="AB442" s="105"/>
      <c r="AC442" s="104"/>
      <c r="AD442" s="104"/>
      <c r="AE442" s="104"/>
      <c r="AF442" s="104"/>
      <c r="AG442" s="104"/>
      <c r="AH442" s="105"/>
      <c r="AI442" s="104"/>
      <c r="AJ442" s="188"/>
    </row>
    <row r="443" spans="1:36" hidden="1" x14ac:dyDescent="0.3">
      <c r="A443" s="8" t="s">
        <v>711</v>
      </c>
      <c r="B443" s="53">
        <v>45597</v>
      </c>
      <c r="C443" s="12" t="s">
        <v>26</v>
      </c>
      <c r="D443" s="8" t="s">
        <v>58</v>
      </c>
      <c r="E443" s="9" t="s">
        <v>37</v>
      </c>
      <c r="F443" s="9" t="s">
        <v>869</v>
      </c>
      <c r="G443" s="4" t="s">
        <v>155</v>
      </c>
      <c r="H443" s="4">
        <v>30715721461</v>
      </c>
      <c r="I443" s="4" t="s">
        <v>868</v>
      </c>
      <c r="J443" s="8" t="s">
        <v>381</v>
      </c>
      <c r="K443" s="173">
        <v>1</v>
      </c>
      <c r="L443" s="10">
        <v>51000</v>
      </c>
      <c r="M443" s="10">
        <f>+Tabla1[[#This Row],[Neto]]*21%</f>
        <v>10710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f>+SUM(Tabla1[[#This Row],[IVA 21%]:[IVA 27%]])</f>
        <v>10710</v>
      </c>
      <c r="V443" s="10">
        <f>+SUM(Tabla1[[#This Row],[Neto]:[Impuestos Internos / Otros Tributos]])</f>
        <v>61710</v>
      </c>
      <c r="W443" s="10">
        <f>+Tabla1[[#This Row],[Total]]</f>
        <v>61710</v>
      </c>
      <c r="X443" s="10"/>
      <c r="Y443" s="49" t="s">
        <v>325</v>
      </c>
      <c r="AA443" s="109"/>
      <c r="AJ443" s="188"/>
    </row>
    <row r="444" spans="1:36" hidden="1" x14ac:dyDescent="0.3">
      <c r="A444" s="8" t="s">
        <v>711</v>
      </c>
      <c r="B444" s="53">
        <v>45597</v>
      </c>
      <c r="C444" s="29" t="s">
        <v>26</v>
      </c>
      <c r="D444" s="28" t="s">
        <v>58</v>
      </c>
      <c r="E444" s="9" t="s">
        <v>28</v>
      </c>
      <c r="F444" s="9" t="s">
        <v>926</v>
      </c>
      <c r="G444" s="4" t="s">
        <v>386</v>
      </c>
      <c r="H444" s="4">
        <v>30716190311</v>
      </c>
      <c r="I444" s="4" t="s">
        <v>927</v>
      </c>
      <c r="J444" s="8" t="s">
        <v>381</v>
      </c>
      <c r="K444" s="173">
        <v>1</v>
      </c>
      <c r="L444" s="10">
        <v>1400000</v>
      </c>
      <c r="M444" s="10">
        <f>+Tabla1[[#This Row],[Neto]]*21%</f>
        <v>294000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f>+SUM(Tabla1[[#This Row],[IVA 21%]:[IVA 27%]])</f>
        <v>294000</v>
      </c>
      <c r="V444" s="10">
        <f>+SUM(Tabla1[[#This Row],[Neto]:[Impuestos Internos / Otros Tributos]])</f>
        <v>1694000</v>
      </c>
      <c r="W444" s="10">
        <f>+Tabla1[[#This Row],[Total]]</f>
        <v>1694000</v>
      </c>
      <c r="X444" s="10">
        <v>0</v>
      </c>
      <c r="Y444" s="49" t="s">
        <v>324</v>
      </c>
      <c r="AA444" s="109">
        <v>45621</v>
      </c>
      <c r="AB444" s="10">
        <v>1694000</v>
      </c>
      <c r="AH444" s="10">
        <v>0</v>
      </c>
      <c r="AJ444" s="188"/>
    </row>
    <row r="445" spans="1:36" hidden="1" x14ac:dyDescent="0.3">
      <c r="A445" s="102" t="s">
        <v>711</v>
      </c>
      <c r="B445" s="103">
        <v>45598</v>
      </c>
      <c r="C445" s="80" t="s">
        <v>26</v>
      </c>
      <c r="D445" s="8" t="s">
        <v>58</v>
      </c>
      <c r="E445" s="9" t="s">
        <v>74</v>
      </c>
      <c r="F445" s="9" t="s">
        <v>845</v>
      </c>
      <c r="G445" s="104" t="s">
        <v>80</v>
      </c>
      <c r="H445" s="4">
        <v>20138455654</v>
      </c>
      <c r="I445" s="4" t="s">
        <v>81</v>
      </c>
      <c r="J445" s="8" t="s">
        <v>381</v>
      </c>
      <c r="K445" s="173">
        <v>1</v>
      </c>
      <c r="L445" s="105">
        <v>11074.38</v>
      </c>
      <c r="M445" s="105">
        <f>+Tabla1[[#This Row],[Neto]]*21%</f>
        <v>2325.6197999999999</v>
      </c>
      <c r="N445" s="105">
        <v>0</v>
      </c>
      <c r="O445" s="105">
        <v>0</v>
      </c>
      <c r="P445" s="105">
        <v>0</v>
      </c>
      <c r="Q445" s="105">
        <v>0</v>
      </c>
      <c r="R445" s="105">
        <v>0</v>
      </c>
      <c r="S445" s="105">
        <v>0</v>
      </c>
      <c r="T445" s="105">
        <v>0</v>
      </c>
      <c r="U445" s="105">
        <f>+SUM(Tabla1[[#This Row],[IVA 21%]:[IVA 27%]])</f>
        <v>2325.6197999999999</v>
      </c>
      <c r="V445" s="10">
        <f>+SUM(Tabla1[[#This Row],[Neto]:[Impuestos Internos / Otros Tributos]])</f>
        <v>13399.9998</v>
      </c>
      <c r="W445" s="10">
        <f>+Tabla1[[#This Row],[Total]]</f>
        <v>13399.9998</v>
      </c>
      <c r="X445" s="105">
        <v>0</v>
      </c>
      <c r="Y445" s="119" t="s">
        <v>324</v>
      </c>
      <c r="Z445" s="119"/>
      <c r="AA445" s="117">
        <v>45598</v>
      </c>
      <c r="AB445" s="105">
        <v>0</v>
      </c>
      <c r="AC445" s="104"/>
      <c r="AD445" s="104"/>
      <c r="AE445" s="104"/>
      <c r="AF445" s="104"/>
      <c r="AG445" s="104"/>
      <c r="AH445" s="120">
        <f>+Tabla1[[#This Row],[Total a Pagar]]</f>
        <v>13399.9998</v>
      </c>
      <c r="AI445" s="104"/>
      <c r="AJ445" s="188"/>
    </row>
    <row r="446" spans="1:36" hidden="1" x14ac:dyDescent="0.3">
      <c r="A446" s="102" t="s">
        <v>711</v>
      </c>
      <c r="B446" s="103">
        <v>45598</v>
      </c>
      <c r="C446" s="37" t="s">
        <v>434</v>
      </c>
      <c r="D446" s="8" t="s">
        <v>403</v>
      </c>
      <c r="E446" s="9" t="s">
        <v>28</v>
      </c>
      <c r="F446" s="9" t="s">
        <v>847</v>
      </c>
      <c r="G446" s="4" t="s">
        <v>406</v>
      </c>
      <c r="H446" s="4">
        <v>30111111111</v>
      </c>
      <c r="I446" s="104" t="s">
        <v>405</v>
      </c>
      <c r="J446" s="102" t="s">
        <v>381</v>
      </c>
      <c r="K446" s="173">
        <v>1</v>
      </c>
      <c r="L446" s="105">
        <v>1500</v>
      </c>
      <c r="M446" s="105">
        <v>0</v>
      </c>
      <c r="N446" s="105">
        <v>0</v>
      </c>
      <c r="O446" s="105">
        <v>0</v>
      </c>
      <c r="P446" s="105">
        <v>0</v>
      </c>
      <c r="Q446" s="105">
        <v>0</v>
      </c>
      <c r="R446" s="105">
        <v>0</v>
      </c>
      <c r="S446" s="105">
        <v>0</v>
      </c>
      <c r="T446" s="105">
        <v>0</v>
      </c>
      <c r="U446" s="105">
        <f>+SUM(Tabla1[[#This Row],[IVA 21%]:[IVA 27%]])</f>
        <v>0</v>
      </c>
      <c r="V446" s="10">
        <f>+SUM(Tabla1[[#This Row],[Neto]:[Impuestos Internos / Otros Tributos]])</f>
        <v>1500</v>
      </c>
      <c r="W446" s="10">
        <f>+Tabla1[[#This Row],[Total]]</f>
        <v>1500</v>
      </c>
      <c r="X446" s="105">
        <v>0</v>
      </c>
      <c r="Y446" s="119" t="s">
        <v>324</v>
      </c>
      <c r="Z446" s="119"/>
      <c r="AA446" s="117">
        <v>45598</v>
      </c>
      <c r="AB446" s="105">
        <v>0</v>
      </c>
      <c r="AC446" s="104"/>
      <c r="AD446" s="104"/>
      <c r="AE446" s="104"/>
      <c r="AF446" s="104"/>
      <c r="AG446" s="104"/>
      <c r="AH446" s="120">
        <f>+Tabla1[[#This Row],[Total a Pagar]]</f>
        <v>1500</v>
      </c>
      <c r="AI446" s="104"/>
      <c r="AJ446" s="188"/>
    </row>
    <row r="447" spans="1:36" hidden="1" x14ac:dyDescent="0.3">
      <c r="A447" s="102" t="s">
        <v>711</v>
      </c>
      <c r="B447" s="103">
        <v>45600</v>
      </c>
      <c r="C447" s="80" t="s">
        <v>26</v>
      </c>
      <c r="D447" s="8" t="s">
        <v>58</v>
      </c>
      <c r="E447" s="9" t="s">
        <v>32</v>
      </c>
      <c r="F447" s="9" t="s">
        <v>840</v>
      </c>
      <c r="G447" s="104" t="s">
        <v>212</v>
      </c>
      <c r="H447" s="4">
        <v>30709462306</v>
      </c>
      <c r="I447" s="4" t="s">
        <v>841</v>
      </c>
      <c r="J447" s="8" t="s">
        <v>381</v>
      </c>
      <c r="K447" s="173">
        <v>1</v>
      </c>
      <c r="L447" s="105">
        <v>582549.35</v>
      </c>
      <c r="M447" s="105">
        <f>+Tabla1[[#This Row],[Neto]]*21%</f>
        <v>122335.36349999999</v>
      </c>
      <c r="N447" s="105">
        <v>0</v>
      </c>
      <c r="O447" s="105">
        <v>0</v>
      </c>
      <c r="P447" s="105">
        <v>0</v>
      </c>
      <c r="Q447" s="105">
        <v>0</v>
      </c>
      <c r="R447" s="105">
        <v>0</v>
      </c>
      <c r="S447" s="105">
        <v>0</v>
      </c>
      <c r="T447" s="105">
        <v>0</v>
      </c>
      <c r="U447" s="105">
        <f>+SUM(Tabla1[[#This Row],[IVA 21%]:[IVA 27%]])</f>
        <v>122335.36349999999</v>
      </c>
      <c r="V447" s="10">
        <f>+SUM(Tabla1[[#This Row],[Neto]:[Impuestos Internos / Otros Tributos]])</f>
        <v>704884.71349999995</v>
      </c>
      <c r="W447" s="10">
        <f>+Tabla1[[#This Row],[Total]]</f>
        <v>704884.71349999995</v>
      </c>
      <c r="X447" s="105"/>
      <c r="Y447" s="119" t="s">
        <v>325</v>
      </c>
      <c r="Z447" s="119"/>
      <c r="AA447" s="117"/>
      <c r="AB447" s="105"/>
      <c r="AC447" s="104"/>
      <c r="AD447" s="104"/>
      <c r="AE447" s="104"/>
      <c r="AF447" s="104"/>
      <c r="AG447" s="104"/>
      <c r="AH447" s="105"/>
      <c r="AI447" s="104"/>
      <c r="AJ447" s="188"/>
    </row>
    <row r="448" spans="1:36" hidden="1" x14ac:dyDescent="0.3">
      <c r="A448" s="102" t="s">
        <v>711</v>
      </c>
      <c r="B448" s="103">
        <v>45600</v>
      </c>
      <c r="C448" s="80" t="s">
        <v>26</v>
      </c>
      <c r="D448" s="8" t="s">
        <v>58</v>
      </c>
      <c r="E448" s="9" t="s">
        <v>32</v>
      </c>
      <c r="F448" s="9" t="s">
        <v>842</v>
      </c>
      <c r="G448" s="104" t="s">
        <v>843</v>
      </c>
      <c r="H448" s="104">
        <v>33714950709</v>
      </c>
      <c r="I448" s="104" t="s">
        <v>844</v>
      </c>
      <c r="J448" s="102" t="s">
        <v>381</v>
      </c>
      <c r="K448" s="173">
        <v>1</v>
      </c>
      <c r="L448" s="105">
        <v>37190.25</v>
      </c>
      <c r="M448" s="105">
        <f>+Tabla1[[#This Row],[Neto]]*21%</f>
        <v>7809.9524999999994</v>
      </c>
      <c r="N448" s="105">
        <v>0</v>
      </c>
      <c r="O448" s="105">
        <v>0</v>
      </c>
      <c r="P448" s="105">
        <v>0</v>
      </c>
      <c r="Q448" s="105">
        <v>0</v>
      </c>
      <c r="R448" s="105">
        <v>0</v>
      </c>
      <c r="S448" s="105">
        <v>0</v>
      </c>
      <c r="T448" s="105">
        <v>0</v>
      </c>
      <c r="U448" s="105">
        <f>+SUM(Tabla1[[#This Row],[IVA 21%]:[IVA 27%]])</f>
        <v>7809.9524999999994</v>
      </c>
      <c r="V448" s="10">
        <f>+SUM(Tabla1[[#This Row],[Neto]:[Impuestos Internos / Otros Tributos]])</f>
        <v>45000.202499999999</v>
      </c>
      <c r="W448" s="10">
        <f>+Tabla1[[#This Row],[Total]]</f>
        <v>45000.202499999999</v>
      </c>
      <c r="X448" s="105"/>
      <c r="Y448" s="119" t="s">
        <v>325</v>
      </c>
      <c r="Z448" s="119"/>
      <c r="AA448" s="117"/>
      <c r="AB448" s="105"/>
      <c r="AC448" s="104"/>
      <c r="AD448" s="104"/>
      <c r="AE448" s="104"/>
      <c r="AF448" s="104"/>
      <c r="AG448" s="104"/>
      <c r="AH448" s="105"/>
      <c r="AI448" s="104"/>
      <c r="AJ448" s="188"/>
    </row>
    <row r="449" spans="1:36" hidden="1" x14ac:dyDescent="0.3">
      <c r="A449" s="102" t="s">
        <v>711</v>
      </c>
      <c r="B449" s="103">
        <v>45600</v>
      </c>
      <c r="C449" s="12" t="s">
        <v>26</v>
      </c>
      <c r="D449" s="8" t="s">
        <v>58</v>
      </c>
      <c r="E449" s="9" t="s">
        <v>730</v>
      </c>
      <c r="F449" s="9" t="s">
        <v>846</v>
      </c>
      <c r="G449" s="104" t="s">
        <v>729</v>
      </c>
      <c r="H449" s="4">
        <v>20231672355</v>
      </c>
      <c r="I449" s="4" t="s">
        <v>732</v>
      </c>
      <c r="J449" s="8" t="s">
        <v>381</v>
      </c>
      <c r="K449" s="173">
        <v>1</v>
      </c>
      <c r="L449" s="105">
        <v>5707.44</v>
      </c>
      <c r="M449" s="105">
        <f>+Tabla1[[#This Row],[Neto]]*21%</f>
        <v>1198.5623999999998</v>
      </c>
      <c r="N449" s="105">
        <v>0</v>
      </c>
      <c r="O449" s="105">
        <v>0</v>
      </c>
      <c r="P449" s="105">
        <v>0</v>
      </c>
      <c r="Q449" s="105">
        <v>0</v>
      </c>
      <c r="R449" s="105">
        <v>0</v>
      </c>
      <c r="S449" s="105">
        <v>0</v>
      </c>
      <c r="T449" s="105">
        <v>0</v>
      </c>
      <c r="U449" s="105">
        <f>+SUM(Tabla1[[#This Row],[IVA 21%]:[IVA 27%]])</f>
        <v>1198.5623999999998</v>
      </c>
      <c r="V449" s="10">
        <f>+SUM(Tabla1[[#This Row],[Neto]:[Impuestos Internos / Otros Tributos]])</f>
        <v>6906.0023999999994</v>
      </c>
      <c r="W449" s="10">
        <f>+Tabla1[[#This Row],[Total]]</f>
        <v>6906.0023999999994</v>
      </c>
      <c r="X449" s="105">
        <v>0</v>
      </c>
      <c r="Y449" s="119" t="s">
        <v>324</v>
      </c>
      <c r="Z449" s="119"/>
      <c r="AA449" s="117">
        <v>45600</v>
      </c>
      <c r="AB449" s="105">
        <v>0</v>
      </c>
      <c r="AC449" s="104"/>
      <c r="AD449" s="104"/>
      <c r="AE449" s="104"/>
      <c r="AF449" s="104"/>
      <c r="AG449" s="104"/>
      <c r="AH449" s="120">
        <f>+Tabla1[[#This Row],[Total a Pagar]]</f>
        <v>6906.0023999999994</v>
      </c>
      <c r="AI449" s="104"/>
      <c r="AJ449" s="188"/>
    </row>
    <row r="450" spans="1:36" hidden="1" x14ac:dyDescent="0.3">
      <c r="A450" s="102" t="s">
        <v>711</v>
      </c>
      <c r="B450" s="53">
        <v>45601</v>
      </c>
      <c r="C450" s="12" t="s">
        <v>26</v>
      </c>
      <c r="D450" s="8" t="s">
        <v>27</v>
      </c>
      <c r="E450" s="9" t="s">
        <v>32</v>
      </c>
      <c r="F450" s="9" t="s">
        <v>798</v>
      </c>
      <c r="G450" s="4" t="s">
        <v>793</v>
      </c>
      <c r="H450" s="4">
        <v>20139171927</v>
      </c>
      <c r="I450" s="4" t="s">
        <v>799</v>
      </c>
      <c r="J450" s="8" t="s">
        <v>381</v>
      </c>
      <c r="K450" s="173">
        <v>1</v>
      </c>
      <c r="L450" s="105">
        <v>12000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f>+SUM(Tabla1[[#This Row],[IVA 21%]:[IVA 27%]])</f>
        <v>0</v>
      </c>
      <c r="V450" s="10">
        <f>+SUM(Tabla1[[#This Row],[Neto]:[Impuestos Internos / Otros Tributos]])</f>
        <v>12000</v>
      </c>
      <c r="W450" s="10">
        <f>+Tabla1[[#This Row],[Total]]</f>
        <v>12000</v>
      </c>
      <c r="X450" s="105"/>
      <c r="Y450" s="119" t="s">
        <v>325</v>
      </c>
      <c r="Z450" s="119"/>
      <c r="AA450" s="117"/>
      <c r="AB450" s="105"/>
      <c r="AC450" s="104"/>
      <c r="AD450" s="104"/>
      <c r="AE450" s="104"/>
      <c r="AF450" s="104"/>
      <c r="AG450" s="104"/>
      <c r="AH450" s="105"/>
      <c r="AI450" s="104"/>
      <c r="AJ450" s="188"/>
    </row>
    <row r="451" spans="1:36" hidden="1" x14ac:dyDescent="0.3">
      <c r="A451" s="102" t="s">
        <v>711</v>
      </c>
      <c r="B451" s="103">
        <v>45601</v>
      </c>
      <c r="C451" s="12" t="s">
        <v>26</v>
      </c>
      <c r="D451" s="8" t="s">
        <v>58</v>
      </c>
      <c r="E451" s="9" t="s">
        <v>32</v>
      </c>
      <c r="F451" s="9" t="s">
        <v>830</v>
      </c>
      <c r="G451" s="104" t="s">
        <v>282</v>
      </c>
      <c r="H451" s="4">
        <v>30714721301</v>
      </c>
      <c r="I451" s="4" t="s">
        <v>831</v>
      </c>
      <c r="J451" s="8" t="s">
        <v>381</v>
      </c>
      <c r="K451" s="173">
        <v>1</v>
      </c>
      <c r="L451" s="105">
        <v>1419595.74</v>
      </c>
      <c r="M451" s="105">
        <f>+Tabla1[[#This Row],[Neto]]*21%</f>
        <v>298115.1054</v>
      </c>
      <c r="N451" s="105">
        <v>0</v>
      </c>
      <c r="O451" s="105">
        <v>0</v>
      </c>
      <c r="P451" s="105">
        <v>0</v>
      </c>
      <c r="Q451" s="105">
        <v>0</v>
      </c>
      <c r="R451" s="105">
        <v>0</v>
      </c>
      <c r="S451" s="105">
        <f>+Tabla1[[#This Row],[Neto]]*3.6%</f>
        <v>51105.446640000009</v>
      </c>
      <c r="T451" s="105">
        <v>0</v>
      </c>
      <c r="U451" s="105">
        <f>+SUM(Tabla1[[#This Row],[IVA 21%]:[IVA 27%]])</f>
        <v>298115.1054</v>
      </c>
      <c r="V451" s="10">
        <f>+SUM(Tabla1[[#This Row],[Neto]:[Impuestos Internos / Otros Tributos]])</f>
        <v>1768816.29204</v>
      </c>
      <c r="W451" s="10">
        <f>+Tabla1[[#This Row],[Total]]</f>
        <v>1768816.29204</v>
      </c>
      <c r="X451" s="105">
        <v>47641.9</v>
      </c>
      <c r="Y451" s="10" t="s">
        <v>324</v>
      </c>
      <c r="Z451" s="10"/>
      <c r="AA451" s="117">
        <v>45635</v>
      </c>
      <c r="AB451" s="105">
        <f>+W232+Tabla1[[#This Row],[Total a Pagar]]-Tabla1[[#This Row],[SICORE]]</f>
        <v>3199552.2706400002</v>
      </c>
      <c r="AC451" s="104"/>
      <c r="AD451" s="104"/>
      <c r="AE451" s="104"/>
      <c r="AF451" s="104"/>
      <c r="AG451" s="104"/>
      <c r="AH451" s="105">
        <v>0</v>
      </c>
      <c r="AI451" s="104"/>
      <c r="AJ451" s="188"/>
    </row>
    <row r="452" spans="1:36" hidden="1" x14ac:dyDescent="0.3">
      <c r="A452" s="8" t="s">
        <v>711</v>
      </c>
      <c r="B452" s="53">
        <v>45601</v>
      </c>
      <c r="C452" s="37" t="s">
        <v>26</v>
      </c>
      <c r="D452" s="36" t="s">
        <v>27</v>
      </c>
      <c r="E452" s="45" t="s">
        <v>28</v>
      </c>
      <c r="F452" s="9" t="s">
        <v>797</v>
      </c>
      <c r="G452" s="38" t="s">
        <v>170</v>
      </c>
      <c r="H452" s="38">
        <v>20356277490</v>
      </c>
      <c r="I452" s="4" t="s">
        <v>891</v>
      </c>
      <c r="J452" s="36" t="s">
        <v>381</v>
      </c>
      <c r="K452" s="173">
        <v>1</v>
      </c>
      <c r="L452" s="10">
        <v>880800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f>+SUM(Tabla1[[#This Row],[IVA 21%]:[IVA 27%]])</f>
        <v>0</v>
      </c>
      <c r="V452" s="10">
        <f>+SUM(Tabla1[[#This Row],[Neto]:[Impuestos Internos / Otros Tributos]])</f>
        <v>880800</v>
      </c>
      <c r="W452" s="10">
        <f>+Tabla1[[#This Row],[Total]]</f>
        <v>880800</v>
      </c>
      <c r="X452" s="10">
        <v>0</v>
      </c>
      <c r="Y452" s="49" t="s">
        <v>324</v>
      </c>
      <c r="AA452" s="109">
        <v>45610</v>
      </c>
      <c r="AB452" s="32">
        <f>+Tabla1[[#This Row],[Total a Pagar]]</f>
        <v>880800</v>
      </c>
      <c r="AH452" s="10">
        <v>0</v>
      </c>
      <c r="AJ452" s="188"/>
    </row>
    <row r="453" spans="1:36" hidden="1" x14ac:dyDescent="0.3">
      <c r="A453" s="8" t="s">
        <v>711</v>
      </c>
      <c r="B453" s="53">
        <v>45601</v>
      </c>
      <c r="C453" s="12" t="s">
        <v>26</v>
      </c>
      <c r="D453" s="8" t="s">
        <v>27</v>
      </c>
      <c r="E453" s="9" t="s">
        <v>28</v>
      </c>
      <c r="F453" s="9" t="s">
        <v>534</v>
      </c>
      <c r="G453" s="4" t="s">
        <v>170</v>
      </c>
      <c r="H453" s="4">
        <v>20356277490</v>
      </c>
      <c r="I453" s="4" t="s">
        <v>885</v>
      </c>
      <c r="J453" s="8" t="s">
        <v>381</v>
      </c>
      <c r="K453" s="173">
        <v>1</v>
      </c>
      <c r="L453" s="10">
        <v>1084000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f>+SUM(Tabla1[[#This Row],[IVA 21%]:[IVA 27%]])</f>
        <v>0</v>
      </c>
      <c r="V453" s="10">
        <f>+SUM(Tabla1[[#This Row],[Neto]:[Impuestos Internos / Otros Tributos]])</f>
        <v>1084000</v>
      </c>
      <c r="W453" s="10">
        <f>+Tabla1[[#This Row],[Total]]</f>
        <v>1084000</v>
      </c>
      <c r="X453" s="10">
        <v>0</v>
      </c>
      <c r="Y453" s="49" t="s">
        <v>324</v>
      </c>
      <c r="AA453" s="109">
        <v>45610</v>
      </c>
      <c r="AB453" s="32">
        <f>+Tabla1[[#This Row],[Total a Pagar]]</f>
        <v>1084000</v>
      </c>
      <c r="AH453" s="10">
        <v>0</v>
      </c>
      <c r="AJ453" s="188"/>
    </row>
    <row r="454" spans="1:36" hidden="1" x14ac:dyDescent="0.3">
      <c r="A454" s="8" t="s">
        <v>711</v>
      </c>
      <c r="B454" s="53">
        <v>45601</v>
      </c>
      <c r="C454" s="12" t="s">
        <v>26</v>
      </c>
      <c r="D454" s="8" t="s">
        <v>27</v>
      </c>
      <c r="E454" s="9" t="s">
        <v>28</v>
      </c>
      <c r="F454" s="9" t="s">
        <v>137</v>
      </c>
      <c r="G454" s="4" t="s">
        <v>162</v>
      </c>
      <c r="H454" s="4">
        <v>20407752458</v>
      </c>
      <c r="I454" s="4" t="s">
        <v>888</v>
      </c>
      <c r="J454" s="8" t="s">
        <v>381</v>
      </c>
      <c r="K454" s="173">
        <v>1</v>
      </c>
      <c r="L454" s="10">
        <v>1516000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f>+SUM(Tabla1[[#This Row],[IVA 21%]:[IVA 27%]])</f>
        <v>0</v>
      </c>
      <c r="V454" s="10">
        <f>+SUM(Tabla1[[#This Row],[Neto]:[Impuestos Internos / Otros Tributos]])</f>
        <v>1516000</v>
      </c>
      <c r="W454" s="39">
        <f>+Tabla1[[#This Row],[Total]]</f>
        <v>1516000</v>
      </c>
      <c r="X454" s="10">
        <v>0</v>
      </c>
      <c r="Y454" s="49" t="s">
        <v>324</v>
      </c>
      <c r="AA454" s="109">
        <v>45610</v>
      </c>
      <c r="AB454" s="32">
        <f>+Tabla1[[#This Row],[Total a Pagar]]</f>
        <v>1516000</v>
      </c>
      <c r="AH454" s="10">
        <v>0</v>
      </c>
      <c r="AJ454" s="188"/>
    </row>
    <row r="455" spans="1:36" hidden="1" x14ac:dyDescent="0.3">
      <c r="A455" s="102" t="s">
        <v>711</v>
      </c>
      <c r="B455" s="103">
        <v>45602</v>
      </c>
      <c r="C455" s="12" t="s">
        <v>26</v>
      </c>
      <c r="D455" s="8" t="s">
        <v>58</v>
      </c>
      <c r="E455" s="9" t="s">
        <v>74</v>
      </c>
      <c r="F455" s="9" t="s">
        <v>825</v>
      </c>
      <c r="G455" s="104" t="s">
        <v>826</v>
      </c>
      <c r="H455" s="104">
        <v>20181464877</v>
      </c>
      <c r="I455" s="104" t="s">
        <v>827</v>
      </c>
      <c r="J455" s="102" t="s">
        <v>381</v>
      </c>
      <c r="K455" s="173">
        <v>1</v>
      </c>
      <c r="L455" s="105">
        <v>275400</v>
      </c>
      <c r="M455" s="105">
        <f>+Tabla1[[#This Row],[Neto]]*21%</f>
        <v>57834</v>
      </c>
      <c r="N455" s="105">
        <v>0</v>
      </c>
      <c r="O455" s="105">
        <v>0</v>
      </c>
      <c r="P455" s="105">
        <v>0</v>
      </c>
      <c r="Q455" s="105">
        <v>0</v>
      </c>
      <c r="R455" s="105">
        <v>0</v>
      </c>
      <c r="S455" s="105">
        <v>0</v>
      </c>
      <c r="T455" s="105">
        <v>0</v>
      </c>
      <c r="U455" s="105">
        <f>+SUM(Tabla1[[#This Row],[IVA 21%]:[IVA 27%]])</f>
        <v>57834</v>
      </c>
      <c r="V455" s="10">
        <f>+SUM(Tabla1[[#This Row],[Neto]:[Impuestos Internos / Otros Tributos]])</f>
        <v>333234</v>
      </c>
      <c r="W455" s="10">
        <f>+Tabla1[[#This Row],[Total]]</f>
        <v>333234</v>
      </c>
      <c r="X455" s="105">
        <v>0</v>
      </c>
      <c r="Y455" s="119" t="s">
        <v>324</v>
      </c>
      <c r="Z455" s="119"/>
      <c r="AA455" s="117">
        <v>45602</v>
      </c>
      <c r="AB455" s="105">
        <v>0</v>
      </c>
      <c r="AC455" s="104"/>
      <c r="AD455" s="104"/>
      <c r="AE455" s="104"/>
      <c r="AF455" s="104"/>
      <c r="AG455" s="104"/>
      <c r="AH455" s="120">
        <f>+Tabla1[[#This Row],[Total a Pagar]]</f>
        <v>333234</v>
      </c>
      <c r="AI455" s="104"/>
      <c r="AJ455" s="188"/>
    </row>
    <row r="456" spans="1:36" hidden="1" x14ac:dyDescent="0.3">
      <c r="A456" s="102" t="s">
        <v>711</v>
      </c>
      <c r="B456" s="103">
        <v>45602</v>
      </c>
      <c r="C456" s="12" t="s">
        <v>26</v>
      </c>
      <c r="D456" s="8" t="s">
        <v>27</v>
      </c>
      <c r="E456" s="9" t="s">
        <v>37</v>
      </c>
      <c r="F456" s="9" t="s">
        <v>834</v>
      </c>
      <c r="G456" s="104" t="s">
        <v>835</v>
      </c>
      <c r="H456" s="104">
        <v>27138441755</v>
      </c>
      <c r="I456" s="104" t="s">
        <v>836</v>
      </c>
      <c r="J456" s="102" t="s">
        <v>381</v>
      </c>
      <c r="K456" s="173">
        <v>1</v>
      </c>
      <c r="L456" s="105">
        <v>30000</v>
      </c>
      <c r="M456" s="105">
        <v>0</v>
      </c>
      <c r="N456" s="105">
        <v>0</v>
      </c>
      <c r="O456" s="105">
        <v>0</v>
      </c>
      <c r="P456" s="105">
        <v>0</v>
      </c>
      <c r="Q456" s="105">
        <v>0</v>
      </c>
      <c r="R456" s="105">
        <v>0</v>
      </c>
      <c r="S456" s="105">
        <v>0</v>
      </c>
      <c r="T456" s="105">
        <v>0</v>
      </c>
      <c r="U456" s="105">
        <f>+SUM(Tabla1[[#This Row],[IVA 21%]:[IVA 27%]])</f>
        <v>0</v>
      </c>
      <c r="V456" s="10">
        <f>+SUM(Tabla1[[#This Row],[Neto]:[Impuestos Internos / Otros Tributos]])</f>
        <v>30000</v>
      </c>
      <c r="W456" s="10">
        <f>+Tabla1[[#This Row],[Total]]</f>
        <v>30000</v>
      </c>
      <c r="X456" s="105">
        <v>0</v>
      </c>
      <c r="Y456" s="119" t="s">
        <v>324</v>
      </c>
      <c r="Z456" s="119"/>
      <c r="AA456" s="117">
        <v>45602</v>
      </c>
      <c r="AB456" s="105">
        <v>0</v>
      </c>
      <c r="AC456" s="104"/>
      <c r="AD456" s="104"/>
      <c r="AE456" s="104"/>
      <c r="AF456" s="104"/>
      <c r="AG456" s="104"/>
      <c r="AH456" s="120">
        <f>+Tabla1[[#This Row],[Total a Pagar]]</f>
        <v>30000</v>
      </c>
      <c r="AI456" s="104"/>
      <c r="AJ456" s="188"/>
    </row>
    <row r="457" spans="1:36" x14ac:dyDescent="0.3">
      <c r="A457" s="102" t="s">
        <v>711</v>
      </c>
      <c r="B457" s="103">
        <v>45602</v>
      </c>
      <c r="C457" s="12" t="s">
        <v>26</v>
      </c>
      <c r="D457" s="8" t="s">
        <v>58</v>
      </c>
      <c r="E457" s="9" t="s">
        <v>32</v>
      </c>
      <c r="F457" s="9" t="s">
        <v>837</v>
      </c>
      <c r="G457" s="104" t="s">
        <v>146</v>
      </c>
      <c r="H457" s="4">
        <v>33716385359</v>
      </c>
      <c r="I457" s="4" t="s">
        <v>142</v>
      </c>
      <c r="J457" s="78" t="s">
        <v>381</v>
      </c>
      <c r="K457" s="173">
        <v>1</v>
      </c>
      <c r="L457" s="105">
        <v>369589</v>
      </c>
      <c r="M457" s="105">
        <f>+Tabla1[[#This Row],[Neto]]*21%</f>
        <v>77613.69</v>
      </c>
      <c r="N457" s="105">
        <v>0</v>
      </c>
      <c r="O457" s="105">
        <v>0</v>
      </c>
      <c r="P457" s="105">
        <v>0</v>
      </c>
      <c r="Q457" s="105">
        <v>2089850</v>
      </c>
      <c r="R457" s="105">
        <v>0</v>
      </c>
      <c r="S457" s="105">
        <f>+(Tabla1[[#This Row],[Exento]]+Tabla1[[#This Row],[Neto]])*3.6%</f>
        <v>88539.804000000004</v>
      </c>
      <c r="T457" s="105">
        <v>0</v>
      </c>
      <c r="U457" s="105">
        <f>+SUM(Tabla1[[#This Row],[IVA 21%]:[IVA 27%]])</f>
        <v>77613.69</v>
      </c>
      <c r="V457" s="10">
        <f>+SUM(Tabla1[[#This Row],[Neto]:[Impuestos Internos / Otros Tributos]])</f>
        <v>2625592.4939999999</v>
      </c>
      <c r="W457" s="10">
        <f>+Tabla1[[#This Row],[Total]]</f>
        <v>2625592.4939999999</v>
      </c>
      <c r="X457" s="105"/>
      <c r="Y457" s="49" t="s">
        <v>324</v>
      </c>
      <c r="Z457" s="119"/>
      <c r="AA457" s="117">
        <v>45635</v>
      </c>
      <c r="AB457" s="105"/>
      <c r="AC457" s="104"/>
      <c r="AD457" s="104"/>
      <c r="AE457" s="104"/>
      <c r="AF457" s="104"/>
      <c r="AG457" s="104"/>
      <c r="AH457" s="105"/>
      <c r="AI457" s="104"/>
      <c r="AJ457" s="4" t="s">
        <v>983</v>
      </c>
    </row>
    <row r="458" spans="1:36" x14ac:dyDescent="0.3">
      <c r="A458" s="102" t="s">
        <v>711</v>
      </c>
      <c r="B458" s="103">
        <v>45602</v>
      </c>
      <c r="C458" s="118" t="s">
        <v>26</v>
      </c>
      <c r="D458" s="102" t="s">
        <v>58</v>
      </c>
      <c r="E458" s="121" t="s">
        <v>32</v>
      </c>
      <c r="F458" s="121" t="s">
        <v>838</v>
      </c>
      <c r="G458" s="104" t="s">
        <v>146</v>
      </c>
      <c r="H458" s="104">
        <v>33716385359</v>
      </c>
      <c r="I458" s="104" t="s">
        <v>142</v>
      </c>
      <c r="J458" s="102" t="s">
        <v>381</v>
      </c>
      <c r="K458" s="173">
        <v>1</v>
      </c>
      <c r="L458" s="105">
        <v>0</v>
      </c>
      <c r="M458" s="105">
        <v>0</v>
      </c>
      <c r="N458" s="105">
        <v>0</v>
      </c>
      <c r="O458" s="105">
        <v>0</v>
      </c>
      <c r="P458" s="105">
        <v>0</v>
      </c>
      <c r="Q458" s="105">
        <v>270800</v>
      </c>
      <c r="R458" s="105">
        <v>0</v>
      </c>
      <c r="S458" s="105">
        <f>+Tabla1[[#This Row],[Exento]]*3.6%</f>
        <v>9748.8000000000011</v>
      </c>
      <c r="T458" s="105">
        <v>0</v>
      </c>
      <c r="U458" s="105">
        <f>+SUM(Tabla1[[#This Row],[IVA 21%]:[IVA 27%]])</f>
        <v>0</v>
      </c>
      <c r="V458" s="10">
        <f>+SUM(Tabla1[[#This Row],[Neto]:[Impuestos Internos / Otros Tributos]])</f>
        <v>280548.8</v>
      </c>
      <c r="W458" s="10">
        <f>+Tabla1[[#This Row],[Total]]</f>
        <v>280548.8</v>
      </c>
      <c r="X458" s="105"/>
      <c r="Y458" s="49" t="s">
        <v>324</v>
      </c>
      <c r="Z458" s="119"/>
      <c r="AA458" s="117">
        <v>45635</v>
      </c>
      <c r="AB458" s="105"/>
      <c r="AC458" s="104"/>
      <c r="AD458" s="104"/>
      <c r="AE458" s="104"/>
      <c r="AF458" s="104"/>
      <c r="AG458" s="104"/>
      <c r="AH458" s="105"/>
      <c r="AI458" s="104"/>
      <c r="AJ458" s="4" t="s">
        <v>983</v>
      </c>
    </row>
    <row r="459" spans="1:36" hidden="1" x14ac:dyDescent="0.3">
      <c r="A459" s="8" t="s">
        <v>711</v>
      </c>
      <c r="B459" s="53">
        <v>45602</v>
      </c>
      <c r="C459" s="12" t="s">
        <v>26</v>
      </c>
      <c r="D459" s="8" t="s">
        <v>58</v>
      </c>
      <c r="E459" s="9" t="s">
        <v>151</v>
      </c>
      <c r="F459" s="9" t="s">
        <v>852</v>
      </c>
      <c r="G459" s="4" t="s">
        <v>278</v>
      </c>
      <c r="H459" s="4">
        <v>20072806078</v>
      </c>
      <c r="I459" s="4" t="s">
        <v>265</v>
      </c>
      <c r="J459" s="8" t="s">
        <v>381</v>
      </c>
      <c r="K459" s="173">
        <v>1</v>
      </c>
      <c r="L459" s="10">
        <v>241459.76</v>
      </c>
      <c r="M459" s="10">
        <v>47915.56</v>
      </c>
      <c r="N459" s="10">
        <v>1395.5</v>
      </c>
      <c r="O459" s="10">
        <v>0</v>
      </c>
      <c r="P459" s="10">
        <v>0</v>
      </c>
      <c r="Q459" s="10">
        <v>0</v>
      </c>
      <c r="R459" s="10"/>
      <c r="S459" s="10">
        <v>0</v>
      </c>
      <c r="T459" s="10">
        <v>0</v>
      </c>
      <c r="U459" s="10">
        <f>+SUM(Tabla1[[#This Row],[IVA 21%]:[IVA 27%]])</f>
        <v>49311.06</v>
      </c>
      <c r="V459" s="10">
        <f>+SUM(Tabla1[[#This Row],[Neto]:[Impuestos Internos / Otros Tributos]])</f>
        <v>290770.82</v>
      </c>
      <c r="W459" s="10">
        <f>+Tabla1[[#This Row],[Total]]</f>
        <v>290770.82</v>
      </c>
      <c r="X459" s="10"/>
      <c r="Y459" s="49" t="s">
        <v>324</v>
      </c>
      <c r="AA459" s="109">
        <v>45602</v>
      </c>
      <c r="AB459" s="10">
        <v>0</v>
      </c>
      <c r="AH459" s="32">
        <f>+Tabla1[[#This Row],[Total a Pagar]]</f>
        <v>290770.82</v>
      </c>
      <c r="AJ459" s="188"/>
    </row>
    <row r="460" spans="1:36" hidden="1" x14ac:dyDescent="0.3">
      <c r="A460" s="8" t="s">
        <v>711</v>
      </c>
      <c r="B460" s="53">
        <v>45602</v>
      </c>
      <c r="C460" s="37" t="s">
        <v>26</v>
      </c>
      <c r="D460" s="36" t="s">
        <v>27</v>
      </c>
      <c r="E460" s="45" t="s">
        <v>28</v>
      </c>
      <c r="F460" s="9" t="s">
        <v>180</v>
      </c>
      <c r="G460" s="38" t="s">
        <v>168</v>
      </c>
      <c r="H460" s="38">
        <v>27362344072</v>
      </c>
      <c r="I460" s="4" t="s">
        <v>889</v>
      </c>
      <c r="J460" s="36" t="s">
        <v>381</v>
      </c>
      <c r="K460" s="173">
        <v>1</v>
      </c>
      <c r="L460" s="10">
        <v>1014000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f>+SUM(Tabla1[[#This Row],[IVA 21%]:[IVA 27%]])</f>
        <v>0</v>
      </c>
      <c r="V460" s="10">
        <f>+SUM(Tabla1[[#This Row],[Neto]:[Impuestos Internos / Otros Tributos]])</f>
        <v>1014000</v>
      </c>
      <c r="W460" s="10">
        <f>+Tabla1[[#This Row],[Total]]</f>
        <v>1014000</v>
      </c>
      <c r="X460" s="10">
        <v>0</v>
      </c>
      <c r="Y460" s="49" t="s">
        <v>324</v>
      </c>
      <c r="AA460" s="109">
        <v>45610</v>
      </c>
      <c r="AB460" s="32">
        <f>+Tabla1[[#This Row],[Total a Pagar]]</f>
        <v>1014000</v>
      </c>
      <c r="AH460" s="10">
        <v>0</v>
      </c>
      <c r="AJ460" s="188"/>
    </row>
    <row r="461" spans="1:36" hidden="1" x14ac:dyDescent="0.3">
      <c r="A461" s="8" t="s">
        <v>711</v>
      </c>
      <c r="B461" s="53">
        <v>45602</v>
      </c>
      <c r="C461" s="37" t="s">
        <v>26</v>
      </c>
      <c r="D461" s="36" t="s">
        <v>27</v>
      </c>
      <c r="E461" s="45" t="s">
        <v>28</v>
      </c>
      <c r="F461" s="9" t="s">
        <v>890</v>
      </c>
      <c r="G461" s="38" t="s">
        <v>183</v>
      </c>
      <c r="H461" s="38">
        <v>20352639606</v>
      </c>
      <c r="I461" s="38" t="s">
        <v>517</v>
      </c>
      <c r="J461" s="36" t="s">
        <v>381</v>
      </c>
      <c r="K461" s="173">
        <v>1</v>
      </c>
      <c r="L461" s="10">
        <v>1011600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f>+SUM(Tabla1[[#This Row],[IVA 21%]:[IVA 27%]])</f>
        <v>0</v>
      </c>
      <c r="V461" s="10">
        <f>+SUM(Tabla1[[#This Row],[Neto]:[Impuestos Internos / Otros Tributos]])</f>
        <v>1011600</v>
      </c>
      <c r="W461" s="39">
        <f>+Tabla1[[#This Row],[Total]]</f>
        <v>1011600</v>
      </c>
      <c r="X461" s="10">
        <v>0</v>
      </c>
      <c r="Y461" s="49" t="s">
        <v>324</v>
      </c>
      <c r="AA461" s="109">
        <v>45610</v>
      </c>
      <c r="AB461" s="32">
        <f>+Tabla1[[#This Row],[Total a Pagar]]</f>
        <v>1011600</v>
      </c>
      <c r="AH461" s="10">
        <v>0</v>
      </c>
      <c r="AJ461" s="188"/>
    </row>
    <row r="462" spans="1:36" hidden="1" x14ac:dyDescent="0.3">
      <c r="A462" s="8" t="s">
        <v>711</v>
      </c>
      <c r="B462" s="53">
        <v>45603</v>
      </c>
      <c r="C462" s="12" t="s">
        <v>26</v>
      </c>
      <c r="D462" s="8" t="s">
        <v>27</v>
      </c>
      <c r="E462" s="9" t="s">
        <v>37</v>
      </c>
      <c r="F462" s="9" t="s">
        <v>832</v>
      </c>
      <c r="G462" s="104" t="s">
        <v>354</v>
      </c>
      <c r="H462" s="4">
        <v>27332358435</v>
      </c>
      <c r="I462" s="4" t="s">
        <v>833</v>
      </c>
      <c r="J462" s="8" t="s">
        <v>381</v>
      </c>
      <c r="K462" s="173">
        <v>1</v>
      </c>
      <c r="L462" s="105">
        <v>400000</v>
      </c>
      <c r="M462" s="105">
        <v>0</v>
      </c>
      <c r="N462" s="105">
        <v>0</v>
      </c>
      <c r="O462" s="105">
        <v>0</v>
      </c>
      <c r="P462" s="105">
        <v>0</v>
      </c>
      <c r="Q462" s="105">
        <v>0</v>
      </c>
      <c r="R462" s="105">
        <v>0</v>
      </c>
      <c r="S462" s="105">
        <v>0</v>
      </c>
      <c r="T462" s="105">
        <v>0</v>
      </c>
      <c r="U462" s="105">
        <f>+SUM(Tabla1[[#This Row],[IVA 21%]:[IVA 27%]])</f>
        <v>0</v>
      </c>
      <c r="V462" s="10">
        <f>+SUM(Tabla1[[#This Row],[Neto]:[Impuestos Internos / Otros Tributos]])</f>
        <v>400000</v>
      </c>
      <c r="W462" s="10">
        <f>+Tabla1[[#This Row],[Total]]</f>
        <v>400000</v>
      </c>
      <c r="X462" s="105">
        <v>0</v>
      </c>
      <c r="Y462" s="119" t="s">
        <v>324</v>
      </c>
      <c r="Z462" s="119"/>
      <c r="AA462" s="117">
        <v>45573</v>
      </c>
      <c r="AB462" s="120">
        <f>+Tabla1[[#This Row],[Total a Pagar]]</f>
        <v>400000</v>
      </c>
      <c r="AC462" s="104"/>
      <c r="AD462" s="104"/>
      <c r="AE462" s="104"/>
      <c r="AF462" s="104"/>
      <c r="AG462" s="104"/>
      <c r="AH462" s="105">
        <v>0</v>
      </c>
      <c r="AI462" s="104"/>
      <c r="AJ462" s="188"/>
    </row>
    <row r="463" spans="1:36" hidden="1" x14ac:dyDescent="0.3">
      <c r="A463" s="102" t="s">
        <v>711</v>
      </c>
      <c r="B463" s="79">
        <v>45604</v>
      </c>
      <c r="C463" s="12" t="s">
        <v>26</v>
      </c>
      <c r="D463" s="8" t="s">
        <v>27</v>
      </c>
      <c r="E463" s="9" t="s">
        <v>37</v>
      </c>
      <c r="F463" s="9" t="s">
        <v>137</v>
      </c>
      <c r="G463" s="104" t="s">
        <v>646</v>
      </c>
      <c r="H463" s="81">
        <v>20258842244</v>
      </c>
      <c r="I463" s="4" t="s">
        <v>828</v>
      </c>
      <c r="J463" s="78" t="s">
        <v>381</v>
      </c>
      <c r="K463" s="173">
        <v>1</v>
      </c>
      <c r="L463" s="105">
        <v>480000</v>
      </c>
      <c r="M463" s="105">
        <v>0</v>
      </c>
      <c r="N463" s="105">
        <v>0</v>
      </c>
      <c r="O463" s="105">
        <v>0</v>
      </c>
      <c r="P463" s="105">
        <v>0</v>
      </c>
      <c r="Q463" s="105">
        <v>0</v>
      </c>
      <c r="R463" s="105">
        <v>0</v>
      </c>
      <c r="S463" s="105">
        <v>0</v>
      </c>
      <c r="T463" s="105">
        <v>0</v>
      </c>
      <c r="U463" s="105">
        <f>+SUM(Tabla1[[#This Row],[IVA 21%]:[IVA 27%]])</f>
        <v>0</v>
      </c>
      <c r="V463" s="10">
        <f>+SUM(Tabla1[[#This Row],[Neto]:[Impuestos Internos / Otros Tributos]])</f>
        <v>480000</v>
      </c>
      <c r="W463" s="10">
        <f>+Tabla1[[#This Row],[Total]]</f>
        <v>480000</v>
      </c>
      <c r="X463" s="105">
        <v>0</v>
      </c>
      <c r="Y463" s="119" t="s">
        <v>829</v>
      </c>
      <c r="Z463" s="119"/>
      <c r="AA463" s="117">
        <v>45604</v>
      </c>
      <c r="AB463" s="120">
        <v>240000</v>
      </c>
      <c r="AC463" s="104"/>
      <c r="AD463" s="104"/>
      <c r="AE463" s="104"/>
      <c r="AF463" s="104"/>
      <c r="AG463" s="104"/>
      <c r="AH463" s="105">
        <v>0</v>
      </c>
      <c r="AI463" s="104"/>
      <c r="AJ463" s="188"/>
    </row>
    <row r="464" spans="1:36" hidden="1" x14ac:dyDescent="0.3">
      <c r="A464" s="102" t="s">
        <v>711</v>
      </c>
      <c r="B464" s="103">
        <v>45604</v>
      </c>
      <c r="C464" s="118" t="s">
        <v>26</v>
      </c>
      <c r="D464" s="102" t="s">
        <v>58</v>
      </c>
      <c r="E464" s="121" t="s">
        <v>266</v>
      </c>
      <c r="F464" s="121" t="s">
        <v>848</v>
      </c>
      <c r="G464" s="104" t="s">
        <v>268</v>
      </c>
      <c r="H464" s="104">
        <v>30690633635</v>
      </c>
      <c r="I464" s="104" t="s">
        <v>849</v>
      </c>
      <c r="J464" s="102" t="s">
        <v>381</v>
      </c>
      <c r="K464" s="173">
        <v>1</v>
      </c>
      <c r="L464" s="105">
        <f>14728.98+265337.71+1302704.23+71188.17+24762.42+28267.9+17462.67+184589.46+197090.6+9124.6+25113.69+196.95+249.09</f>
        <v>2140816.4699999997</v>
      </c>
      <c r="M464" s="105">
        <v>93.67</v>
      </c>
      <c r="N464" s="105">
        <v>0</v>
      </c>
      <c r="O464" s="105">
        <f>460887.14+105517.26</f>
        <v>566404.4</v>
      </c>
      <c r="P464" s="105">
        <v>0</v>
      </c>
      <c r="Q464" s="105">
        <v>0</v>
      </c>
      <c r="R464" s="105">
        <v>0</v>
      </c>
      <c r="S464" s="105">
        <v>0</v>
      </c>
      <c r="T464" s="105">
        <f>92177.43+7633.6+67003.46+57196.43</f>
        <v>224010.91999999998</v>
      </c>
      <c r="U464" s="105">
        <f>+SUM(Tabla1[[#This Row],[IVA 21%]:[IVA 27%]])</f>
        <v>566498.07000000007</v>
      </c>
      <c r="V464" s="10">
        <f>+SUM(Tabla1[[#This Row],[Neto]:[Impuestos Internos / Otros Tributos]])</f>
        <v>2931325.4599999995</v>
      </c>
      <c r="W464" s="10">
        <f>+Tabla1[[#This Row],[Total]]</f>
        <v>2931325.4599999995</v>
      </c>
      <c r="X464" s="105">
        <v>0</v>
      </c>
      <c r="Y464" s="49" t="s">
        <v>324</v>
      </c>
      <c r="AA464" s="117">
        <v>45616</v>
      </c>
      <c r="AB464" s="50">
        <f>+Tabla1[[#This Row],[Total a Pagar]]</f>
        <v>2931325.4599999995</v>
      </c>
      <c r="AC464" s="104"/>
      <c r="AD464" s="104"/>
      <c r="AE464" s="104"/>
      <c r="AF464" s="104"/>
      <c r="AG464" s="104"/>
      <c r="AH464" s="105">
        <v>0</v>
      </c>
      <c r="AI464" s="104"/>
      <c r="AJ464" s="188"/>
    </row>
    <row r="465" spans="1:36" hidden="1" x14ac:dyDescent="0.3">
      <c r="A465" s="175" t="s">
        <v>711</v>
      </c>
      <c r="B465" s="176">
        <v>45606</v>
      </c>
      <c r="C465" s="12" t="s">
        <v>26</v>
      </c>
      <c r="D465" s="8" t="s">
        <v>27</v>
      </c>
      <c r="E465" s="9" t="s">
        <v>37</v>
      </c>
      <c r="F465" s="9" t="s">
        <v>739</v>
      </c>
      <c r="G465" s="4" t="s">
        <v>234</v>
      </c>
      <c r="H465" s="4">
        <v>20271839503</v>
      </c>
      <c r="I465" s="4" t="s">
        <v>914</v>
      </c>
      <c r="J465" s="8" t="s">
        <v>381</v>
      </c>
      <c r="K465" s="180">
        <v>1</v>
      </c>
      <c r="L465" s="181">
        <v>260137.49</v>
      </c>
      <c r="M465" s="181">
        <v>0</v>
      </c>
      <c r="N465" s="181">
        <v>0</v>
      </c>
      <c r="O465" s="181">
        <v>0</v>
      </c>
      <c r="P465" s="181">
        <v>0</v>
      </c>
      <c r="Q465" s="181">
        <v>0</v>
      </c>
      <c r="R465" s="181">
        <v>0</v>
      </c>
      <c r="S465" s="181">
        <v>0</v>
      </c>
      <c r="T465" s="181">
        <v>0</v>
      </c>
      <c r="U465" s="181">
        <f>+SUM(Tabla1[[#This Row],[IVA 21%]:[IVA 27%]])</f>
        <v>0</v>
      </c>
      <c r="V465" s="10">
        <f>+SUM(Tabla1[[#This Row],[Neto]:[Impuestos Internos / Otros Tributos]])</f>
        <v>260137.49</v>
      </c>
      <c r="W465" s="10">
        <f>+Tabla1[[#This Row],[Total]]</f>
        <v>260137.49</v>
      </c>
      <c r="X465" s="181">
        <v>0</v>
      </c>
      <c r="Y465" s="49" t="s">
        <v>324</v>
      </c>
      <c r="AA465" s="183">
        <v>45615</v>
      </c>
      <c r="AB465" s="184">
        <f>+Tabla1[[#This Row],[Total a Pagar]]</f>
        <v>260137.49</v>
      </c>
      <c r="AC465" s="179"/>
      <c r="AD465" s="179"/>
      <c r="AE465" s="179"/>
      <c r="AF465" s="179"/>
      <c r="AG465" s="179"/>
      <c r="AH465" s="181">
        <v>0</v>
      </c>
      <c r="AI465" s="179"/>
      <c r="AJ465" s="188"/>
    </row>
    <row r="466" spans="1:36" hidden="1" x14ac:dyDescent="0.3">
      <c r="A466" s="8" t="s">
        <v>711</v>
      </c>
      <c r="B466" s="96">
        <v>45607</v>
      </c>
      <c r="C466" s="97" t="s">
        <v>26</v>
      </c>
      <c r="D466" s="95" t="s">
        <v>58</v>
      </c>
      <c r="E466" s="98" t="s">
        <v>37</v>
      </c>
      <c r="F466" s="9" t="s">
        <v>850</v>
      </c>
      <c r="G466" s="99" t="s">
        <v>131</v>
      </c>
      <c r="H466" s="99">
        <v>30712291237</v>
      </c>
      <c r="I466" s="99" t="s">
        <v>132</v>
      </c>
      <c r="J466" s="95" t="s">
        <v>381</v>
      </c>
      <c r="K466" s="173">
        <v>1</v>
      </c>
      <c r="L466" s="105">
        <v>599798</v>
      </c>
      <c r="M466" s="105">
        <f>+Tabla1[[#This Row],[Neto]]*21%</f>
        <v>125957.58</v>
      </c>
      <c r="N466" s="105">
        <v>0</v>
      </c>
      <c r="O466" s="105">
        <v>0</v>
      </c>
      <c r="P466" s="105">
        <v>0</v>
      </c>
      <c r="Q466" s="105">
        <v>0</v>
      </c>
      <c r="R466" s="105">
        <v>0</v>
      </c>
      <c r="S466" s="105">
        <v>0</v>
      </c>
      <c r="T466" s="105">
        <v>0</v>
      </c>
      <c r="U466" s="105">
        <f>+SUM(Tabla1[[#This Row],[IVA 21%]:[IVA 27%]])</f>
        <v>125957.58</v>
      </c>
      <c r="V466" s="10">
        <f>+SUM(Tabla1[[#This Row],[Neto]:[Impuestos Internos / Otros Tributos]])</f>
        <v>725755.58</v>
      </c>
      <c r="W466" s="10">
        <f>+Tabla1[[#This Row],[Total]]</f>
        <v>725755.58</v>
      </c>
      <c r="X466" s="105">
        <v>0</v>
      </c>
      <c r="Y466" s="119" t="s">
        <v>325</v>
      </c>
      <c r="Z466" s="119"/>
      <c r="AA466" s="117"/>
      <c r="AB466" s="105"/>
      <c r="AC466" s="104"/>
      <c r="AD466" s="104"/>
      <c r="AE466" s="104"/>
      <c r="AF466" s="104"/>
      <c r="AG466" s="104"/>
      <c r="AH466" s="105"/>
      <c r="AI466" s="104"/>
      <c r="AJ466" s="188"/>
    </row>
    <row r="467" spans="1:36" x14ac:dyDescent="0.3">
      <c r="A467" s="102" t="s">
        <v>711</v>
      </c>
      <c r="B467" s="53">
        <v>45607</v>
      </c>
      <c r="C467" s="118" t="s">
        <v>26</v>
      </c>
      <c r="D467" s="102" t="s">
        <v>58</v>
      </c>
      <c r="E467" s="121" t="s">
        <v>32</v>
      </c>
      <c r="F467" s="9" t="s">
        <v>851</v>
      </c>
      <c r="G467" s="104" t="s">
        <v>146</v>
      </c>
      <c r="H467" s="104">
        <v>33716385359</v>
      </c>
      <c r="I467" s="104" t="s">
        <v>142</v>
      </c>
      <c r="J467" s="102" t="s">
        <v>381</v>
      </c>
      <c r="K467" s="173">
        <v>1</v>
      </c>
      <c r="L467" s="10">
        <v>21000</v>
      </c>
      <c r="M467" s="10">
        <f>+Tabla1[[#This Row],[Neto]]*21%</f>
        <v>4410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f>+Tabla1[[#This Row],[Neto]]*3.6%</f>
        <v>756.00000000000011</v>
      </c>
      <c r="T467" s="10">
        <v>0</v>
      </c>
      <c r="U467" s="10">
        <f>+SUM(Tabla1[[#This Row],[IVA 21%]:[IVA 27%]])</f>
        <v>4410</v>
      </c>
      <c r="V467" s="10">
        <f>+SUM(Tabla1[[#This Row],[Neto]:[Impuestos Internos / Otros Tributos]])</f>
        <v>26166</v>
      </c>
      <c r="W467" s="10">
        <f>+Tabla1[[#This Row],[Total]]</f>
        <v>26166</v>
      </c>
      <c r="X467" s="10"/>
      <c r="Y467" s="49" t="s">
        <v>324</v>
      </c>
      <c r="AA467" s="117">
        <v>45635</v>
      </c>
      <c r="AJ467" s="4" t="s">
        <v>983</v>
      </c>
    </row>
    <row r="468" spans="1:36" hidden="1" x14ac:dyDescent="0.3">
      <c r="A468" s="8" t="s">
        <v>711</v>
      </c>
      <c r="B468" s="53">
        <v>45607</v>
      </c>
      <c r="C468" s="12" t="s">
        <v>26</v>
      </c>
      <c r="D468" s="8" t="s">
        <v>58</v>
      </c>
      <c r="E468" s="9" t="s">
        <v>730</v>
      </c>
      <c r="F468" s="9" t="s">
        <v>865</v>
      </c>
      <c r="G468" s="4" t="s">
        <v>729</v>
      </c>
      <c r="H468" s="4">
        <v>20231672355</v>
      </c>
      <c r="I468" s="4" t="s">
        <v>732</v>
      </c>
      <c r="J468" s="8" t="s">
        <v>381</v>
      </c>
      <c r="K468" s="173">
        <v>1</v>
      </c>
      <c r="L468" s="10">
        <v>30850</v>
      </c>
      <c r="M468" s="10">
        <f>+Tabla1[[#This Row],[Neto]]*21%</f>
        <v>6478.5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f>+SUM(Tabla1[[#This Row],[IVA 21%]:[IVA 27%]])</f>
        <v>6478.5</v>
      </c>
      <c r="V468" s="10">
        <f>+SUM(Tabla1[[#This Row],[Neto]:[Impuestos Internos / Otros Tributos]])</f>
        <v>37328.5</v>
      </c>
      <c r="W468" s="10">
        <f>+Tabla1[[#This Row],[Total]]</f>
        <v>37328.5</v>
      </c>
      <c r="X468" s="10">
        <v>0</v>
      </c>
      <c r="Y468" s="49" t="s">
        <v>324</v>
      </c>
      <c r="AA468" s="109">
        <v>45607</v>
      </c>
      <c r="AB468" s="10">
        <v>0</v>
      </c>
      <c r="AH468" s="32">
        <f>+Tabla1[[#This Row],[Total a Pagar]]</f>
        <v>37328.5</v>
      </c>
      <c r="AJ468" s="188"/>
    </row>
    <row r="469" spans="1:36" hidden="1" x14ac:dyDescent="0.3">
      <c r="A469" s="8" t="s">
        <v>711</v>
      </c>
      <c r="B469" s="53">
        <v>45607</v>
      </c>
      <c r="C469" s="37" t="s">
        <v>434</v>
      </c>
      <c r="D469" s="8" t="s">
        <v>403</v>
      </c>
      <c r="E469" s="9" t="s">
        <v>28</v>
      </c>
      <c r="F469" s="9" t="s">
        <v>866</v>
      </c>
      <c r="G469" s="4" t="s">
        <v>406</v>
      </c>
      <c r="H469" s="4">
        <v>30111111111</v>
      </c>
      <c r="I469" s="104" t="s">
        <v>405</v>
      </c>
      <c r="J469" s="102" t="s">
        <v>381</v>
      </c>
      <c r="K469" s="173">
        <v>1</v>
      </c>
      <c r="L469" s="10">
        <v>1500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f>+SUM(Tabla1[[#This Row],[IVA 21%]:[IVA 27%]])</f>
        <v>0</v>
      </c>
      <c r="V469" s="10">
        <f>+SUM(Tabla1[[#This Row],[Neto]:[Impuestos Internos / Otros Tributos]])</f>
        <v>1500</v>
      </c>
      <c r="W469" s="10">
        <f>+Tabla1[[#This Row],[Total]]</f>
        <v>1500</v>
      </c>
      <c r="X469" s="10">
        <v>0</v>
      </c>
      <c r="Y469" s="49" t="s">
        <v>324</v>
      </c>
      <c r="AA469" s="109">
        <v>45607</v>
      </c>
      <c r="AB469" s="10">
        <v>0</v>
      </c>
      <c r="AH469" s="32">
        <f>+Tabla1[[#This Row],[Total a Pagar]]</f>
        <v>1500</v>
      </c>
      <c r="AJ469" s="188"/>
    </row>
    <row r="470" spans="1:36" hidden="1" x14ac:dyDescent="0.3">
      <c r="A470" s="8" t="s">
        <v>711</v>
      </c>
      <c r="B470" s="53">
        <v>45607</v>
      </c>
      <c r="C470" s="12" t="s">
        <v>26</v>
      </c>
      <c r="D470" s="8" t="s">
        <v>27</v>
      </c>
      <c r="E470" s="9" t="s">
        <v>37</v>
      </c>
      <c r="F470" s="9" t="s">
        <v>929</v>
      </c>
      <c r="G470" s="4" t="s">
        <v>320</v>
      </c>
      <c r="H470" s="4">
        <v>20222549788</v>
      </c>
      <c r="I470" s="4" t="s">
        <v>867</v>
      </c>
      <c r="J470" s="8" t="s">
        <v>381</v>
      </c>
      <c r="K470" s="173">
        <v>1</v>
      </c>
      <c r="L470" s="10">
        <v>266493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f>+SUM(Tabla1[[#This Row],[IVA 21%]:[IVA 27%]])</f>
        <v>0</v>
      </c>
      <c r="V470" s="10">
        <f>+SUM(Tabla1[[#This Row],[Neto]:[Impuestos Internos / Otros Tributos]])</f>
        <v>266493</v>
      </c>
      <c r="W470" s="10">
        <f>+Tabla1[[#This Row],[Total]]</f>
        <v>266493</v>
      </c>
      <c r="X470" s="10"/>
      <c r="Y470" s="49" t="s">
        <v>324</v>
      </c>
      <c r="AA470" s="109">
        <v>45628</v>
      </c>
      <c r="AB470" s="10">
        <v>266493</v>
      </c>
      <c r="AJ470" s="188"/>
    </row>
    <row r="471" spans="1:36" hidden="1" x14ac:dyDescent="0.3">
      <c r="A471" s="8" t="s">
        <v>711</v>
      </c>
      <c r="B471" s="53">
        <v>45607</v>
      </c>
      <c r="C471" s="12" t="s">
        <v>26</v>
      </c>
      <c r="D471" s="8" t="s">
        <v>27</v>
      </c>
      <c r="E471" s="9" t="s">
        <v>32</v>
      </c>
      <c r="F471" s="9" t="s">
        <v>870</v>
      </c>
      <c r="G471" s="4" t="s">
        <v>552</v>
      </c>
      <c r="H471" s="4">
        <v>20306364945</v>
      </c>
      <c r="I471" s="4" t="s">
        <v>871</v>
      </c>
      <c r="J471" s="8" t="s">
        <v>381</v>
      </c>
      <c r="K471" s="173">
        <v>1</v>
      </c>
      <c r="L471" s="10">
        <v>250000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f>+SUM(Tabla1[[#This Row],[IVA 21%]:[IVA 27%]])</f>
        <v>0</v>
      </c>
      <c r="V471" s="10">
        <f>+SUM(Tabla1[[#This Row],[Neto]:[Impuestos Internos / Otros Tributos]])</f>
        <v>250000</v>
      </c>
      <c r="W471" s="10">
        <f>+Tabla1[[#This Row],[Total]]</f>
        <v>250000</v>
      </c>
      <c r="X471" s="10">
        <v>0</v>
      </c>
      <c r="Y471" s="49" t="s">
        <v>324</v>
      </c>
      <c r="AA471" s="109">
        <v>45604</v>
      </c>
      <c r="AB471" s="32">
        <v>273032</v>
      </c>
      <c r="AH471" s="10">
        <v>0</v>
      </c>
      <c r="AJ471" s="188"/>
    </row>
    <row r="472" spans="1:36" hidden="1" x14ac:dyDescent="0.3">
      <c r="A472" s="8" t="s">
        <v>711</v>
      </c>
      <c r="B472" s="53">
        <v>45607</v>
      </c>
      <c r="C472" s="12" t="s">
        <v>26</v>
      </c>
      <c r="D472" s="8" t="s">
        <v>27</v>
      </c>
      <c r="E472" s="9" t="s">
        <v>28</v>
      </c>
      <c r="F472" s="9" t="s">
        <v>432</v>
      </c>
      <c r="G472" s="4" t="s">
        <v>144</v>
      </c>
      <c r="H472" s="4">
        <v>20306367553</v>
      </c>
      <c r="I472" s="4" t="s">
        <v>882</v>
      </c>
      <c r="J472" s="8" t="s">
        <v>381</v>
      </c>
      <c r="K472" s="173">
        <v>1</v>
      </c>
      <c r="L472" s="10">
        <v>240000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f>+SUM(Tabla1[[#This Row],[IVA 21%]:[IVA 27%]])</f>
        <v>0</v>
      </c>
      <c r="V472" s="10">
        <f>+SUM(Tabla1[[#This Row],[Neto]:[Impuestos Internos / Otros Tributos]])</f>
        <v>240000</v>
      </c>
      <c r="W472" s="10">
        <f>+Tabla1[[#This Row],[Total]]</f>
        <v>240000</v>
      </c>
      <c r="X472" s="10">
        <v>0</v>
      </c>
      <c r="Y472" s="49" t="s">
        <v>324</v>
      </c>
      <c r="AA472" s="109">
        <v>45610</v>
      </c>
      <c r="AB472" s="32">
        <f>+Tabla1[[#This Row],[Total a Pagar]]</f>
        <v>240000</v>
      </c>
      <c r="AH472" s="10">
        <v>0</v>
      </c>
      <c r="AJ472" s="188"/>
    </row>
    <row r="473" spans="1:36" hidden="1" x14ac:dyDescent="0.3">
      <c r="A473" s="8" t="s">
        <v>711</v>
      </c>
      <c r="B473" s="53">
        <v>45607</v>
      </c>
      <c r="C473" s="12" t="s">
        <v>26</v>
      </c>
      <c r="D473" s="8" t="s">
        <v>27</v>
      </c>
      <c r="E473" s="9" t="s">
        <v>37</v>
      </c>
      <c r="F473" s="9" t="s">
        <v>883</v>
      </c>
      <c r="G473" s="4" t="s">
        <v>393</v>
      </c>
      <c r="H473" s="4">
        <v>27328052887</v>
      </c>
      <c r="I473" s="4" t="s">
        <v>884</v>
      </c>
      <c r="J473" s="8" t="s">
        <v>381</v>
      </c>
      <c r="K473" s="173">
        <v>1</v>
      </c>
      <c r="L473" s="10">
        <v>756000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f>+SUM(Tabla1[[#This Row],[IVA 21%]:[IVA 27%]])</f>
        <v>0</v>
      </c>
      <c r="V473" s="10">
        <f>+SUM(Tabla1[[#This Row],[Neto]:[Impuestos Internos / Otros Tributos]])</f>
        <v>756000</v>
      </c>
      <c r="W473" s="10">
        <f>+Tabla1[[#This Row],[Total]]</f>
        <v>756000</v>
      </c>
      <c r="X473" s="10">
        <v>0</v>
      </c>
      <c r="Y473" s="49" t="s">
        <v>324</v>
      </c>
      <c r="AA473" s="109">
        <v>45610</v>
      </c>
      <c r="AB473" s="32">
        <f>+Tabla1[[#This Row],[Total a Pagar]]</f>
        <v>756000</v>
      </c>
      <c r="AH473" s="10">
        <v>0</v>
      </c>
      <c r="AJ473" s="188"/>
    </row>
    <row r="474" spans="1:36" hidden="1" x14ac:dyDescent="0.3">
      <c r="A474" s="8" t="s">
        <v>711</v>
      </c>
      <c r="B474" s="53">
        <v>45607</v>
      </c>
      <c r="C474" s="37" t="s">
        <v>26</v>
      </c>
      <c r="D474" s="36" t="s">
        <v>27</v>
      </c>
      <c r="E474" s="45" t="s">
        <v>37</v>
      </c>
      <c r="F474" s="9" t="s">
        <v>886</v>
      </c>
      <c r="G474" s="38" t="s">
        <v>179</v>
      </c>
      <c r="H474" s="38">
        <v>27405241760</v>
      </c>
      <c r="I474" s="4" t="s">
        <v>885</v>
      </c>
      <c r="J474" s="36" t="s">
        <v>381</v>
      </c>
      <c r="K474" s="173">
        <v>1</v>
      </c>
      <c r="L474" s="10">
        <v>498000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f>+SUM(Tabla1[[#This Row],[IVA 21%]:[IVA 27%]])</f>
        <v>0</v>
      </c>
      <c r="V474" s="10">
        <f>+SUM(Tabla1[[#This Row],[Neto]:[Impuestos Internos / Otros Tributos]])</f>
        <v>498000</v>
      </c>
      <c r="W474" s="39">
        <f>+Tabla1[[#This Row],[Total]]</f>
        <v>498000</v>
      </c>
      <c r="X474" s="10">
        <v>0</v>
      </c>
      <c r="Y474" s="49" t="s">
        <v>324</v>
      </c>
      <c r="AA474" s="109">
        <v>45607</v>
      </c>
      <c r="AB474" s="32">
        <f>+Tabla1[[#This Row],[Total a Pagar]]</f>
        <v>498000</v>
      </c>
      <c r="AH474" s="10">
        <v>0</v>
      </c>
      <c r="AJ474" s="188"/>
    </row>
    <row r="475" spans="1:36" hidden="1" x14ac:dyDescent="0.3">
      <c r="A475" s="8" t="s">
        <v>711</v>
      </c>
      <c r="B475" s="53">
        <v>45607</v>
      </c>
      <c r="C475" s="37" t="s">
        <v>26</v>
      </c>
      <c r="D475" s="36" t="s">
        <v>27</v>
      </c>
      <c r="E475" s="45" t="s">
        <v>28</v>
      </c>
      <c r="F475" s="9" t="s">
        <v>887</v>
      </c>
      <c r="G475" s="38" t="s">
        <v>530</v>
      </c>
      <c r="H475" s="38">
        <v>27954100699</v>
      </c>
      <c r="I475" s="4" t="s">
        <v>884</v>
      </c>
      <c r="J475" s="36" t="s">
        <v>381</v>
      </c>
      <c r="K475" s="173">
        <v>1</v>
      </c>
      <c r="L475" s="10">
        <v>552000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f>+SUM(Tabla1[[#This Row],[IVA 21%]:[IVA 27%]])</f>
        <v>0</v>
      </c>
      <c r="V475" s="10">
        <f>+SUM(Tabla1[[#This Row],[Neto]:[Impuestos Internos / Otros Tributos]])</f>
        <v>552000</v>
      </c>
      <c r="W475" s="10">
        <f>+Tabla1[[#This Row],[Total]]</f>
        <v>552000</v>
      </c>
      <c r="X475" s="10">
        <v>0</v>
      </c>
      <c r="Y475" s="49" t="s">
        <v>324</v>
      </c>
      <c r="AA475" s="109">
        <v>45610</v>
      </c>
      <c r="AB475" s="32">
        <f>+Tabla1[[#This Row],[Total a Pagar]]</f>
        <v>552000</v>
      </c>
      <c r="AH475" s="10">
        <v>0</v>
      </c>
      <c r="AJ475" s="188"/>
    </row>
    <row r="476" spans="1:36" hidden="1" x14ac:dyDescent="0.3">
      <c r="A476" s="8" t="s">
        <v>711</v>
      </c>
      <c r="B476" s="53">
        <v>45608</v>
      </c>
      <c r="C476" s="37" t="s">
        <v>26</v>
      </c>
      <c r="D476" s="36" t="s">
        <v>27</v>
      </c>
      <c r="E476" s="45" t="s">
        <v>37</v>
      </c>
      <c r="F476" s="9" t="s">
        <v>178</v>
      </c>
      <c r="G476" s="38" t="s">
        <v>175</v>
      </c>
      <c r="H476" s="38">
        <v>20385006226</v>
      </c>
      <c r="I476" s="4" t="s">
        <v>888</v>
      </c>
      <c r="J476" s="36" t="s">
        <v>381</v>
      </c>
      <c r="K476" s="173">
        <v>1</v>
      </c>
      <c r="L476" s="10">
        <v>884248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f>+SUM(Tabla1[[#This Row],[IVA 21%]:[IVA 27%]])</f>
        <v>0</v>
      </c>
      <c r="V476" s="10">
        <f>+SUM(Tabla1[[#This Row],[Neto]:[Impuestos Internos / Otros Tributos]])</f>
        <v>884248</v>
      </c>
      <c r="W476" s="10">
        <f>+Tabla1[[#This Row],[Total]]</f>
        <v>884248</v>
      </c>
      <c r="X476" s="10"/>
      <c r="Y476" s="49" t="s">
        <v>324</v>
      </c>
      <c r="AA476" s="109">
        <v>45610</v>
      </c>
      <c r="AB476" s="32">
        <f>+Tabla1[[#This Row],[Total a Pagar]]</f>
        <v>884248</v>
      </c>
      <c r="AH476" s="10">
        <v>0</v>
      </c>
      <c r="AJ476" s="188"/>
    </row>
    <row r="477" spans="1:36" hidden="1" x14ac:dyDescent="0.3">
      <c r="A477" s="8" t="s">
        <v>711</v>
      </c>
      <c r="B477" s="53">
        <v>45608</v>
      </c>
      <c r="C477" s="37" t="s">
        <v>26</v>
      </c>
      <c r="D477" s="36" t="s">
        <v>27</v>
      </c>
      <c r="E477" s="45" t="s">
        <v>37</v>
      </c>
      <c r="F477" s="9" t="s">
        <v>892</v>
      </c>
      <c r="G477" s="38" t="s">
        <v>188</v>
      </c>
      <c r="H477" s="38">
        <v>27299781688</v>
      </c>
      <c r="I477" s="4" t="s">
        <v>882</v>
      </c>
      <c r="J477" s="36" t="s">
        <v>381</v>
      </c>
      <c r="K477" s="173">
        <v>1</v>
      </c>
      <c r="L477" s="10">
        <v>1134000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f>+SUM(Tabla1[[#This Row],[IVA 21%]:[IVA 27%]])</f>
        <v>0</v>
      </c>
      <c r="V477" s="10">
        <f>+SUM(Tabla1[[#This Row],[Neto]:[Impuestos Internos / Otros Tributos]])</f>
        <v>1134000</v>
      </c>
      <c r="W477" s="10">
        <f>+Tabla1[[#This Row],[Total]]</f>
        <v>1134000</v>
      </c>
      <c r="X477" s="10">
        <v>0</v>
      </c>
      <c r="Y477" s="49" t="s">
        <v>324</v>
      </c>
      <c r="AA477" s="109">
        <v>45610</v>
      </c>
      <c r="AB477" s="32">
        <f>+Tabla1[[#This Row],[Total a Pagar]]</f>
        <v>1134000</v>
      </c>
      <c r="AH477" s="10">
        <v>0</v>
      </c>
      <c r="AJ477" s="188"/>
    </row>
    <row r="478" spans="1:36" hidden="1" x14ac:dyDescent="0.3">
      <c r="A478" s="8" t="s">
        <v>711</v>
      </c>
      <c r="B478" s="53">
        <v>45608</v>
      </c>
      <c r="C478" s="69" t="s">
        <v>26</v>
      </c>
      <c r="D478" s="67" t="s">
        <v>27</v>
      </c>
      <c r="E478" s="9" t="s">
        <v>37</v>
      </c>
      <c r="F478" s="9" t="s">
        <v>918</v>
      </c>
      <c r="G478" s="4" t="s">
        <v>919</v>
      </c>
      <c r="H478" s="4">
        <v>20184335396</v>
      </c>
      <c r="I478" s="4" t="s">
        <v>920</v>
      </c>
      <c r="J478" s="8" t="s">
        <v>381</v>
      </c>
      <c r="K478" s="173">
        <v>1</v>
      </c>
      <c r="L478" s="10">
        <v>100639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f>+SUM(Tabla1[[#This Row],[IVA 21%]:[IVA 27%]])</f>
        <v>0</v>
      </c>
      <c r="V478" s="10">
        <f>+SUM(Tabla1[[#This Row],[Neto]:[Impuestos Internos / Otros Tributos]])</f>
        <v>100639</v>
      </c>
      <c r="W478" s="10">
        <f>+Tabla1[[#This Row],[Total]]</f>
        <v>100639</v>
      </c>
      <c r="X478" s="10">
        <v>0</v>
      </c>
      <c r="Y478" s="49" t="s">
        <v>324</v>
      </c>
      <c r="AA478" s="109">
        <v>45615</v>
      </c>
      <c r="AB478" s="32">
        <f>+Tabla1[[#This Row],[Total a Pagar]]</f>
        <v>100639</v>
      </c>
      <c r="AH478" s="10">
        <v>0</v>
      </c>
      <c r="AJ478" s="188"/>
    </row>
    <row r="479" spans="1:36" hidden="1" x14ac:dyDescent="0.3">
      <c r="A479" s="8" t="s">
        <v>711</v>
      </c>
      <c r="B479" s="53">
        <v>45609</v>
      </c>
      <c r="C479" s="12" t="s">
        <v>26</v>
      </c>
      <c r="D479" s="8" t="s">
        <v>27</v>
      </c>
      <c r="E479" s="9" t="s">
        <v>28</v>
      </c>
      <c r="F479" s="9" t="s">
        <v>879</v>
      </c>
      <c r="G479" s="4" t="s">
        <v>44</v>
      </c>
      <c r="H479" s="4">
        <v>27346203647</v>
      </c>
      <c r="I479" s="4" t="s">
        <v>878</v>
      </c>
      <c r="J479" s="8" t="s">
        <v>381</v>
      </c>
      <c r="K479" s="173">
        <v>1</v>
      </c>
      <c r="L479" s="10">
        <v>465600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f>+SUM(Tabla1[[#This Row],[IVA 21%]:[IVA 27%]])</f>
        <v>0</v>
      </c>
      <c r="V479" s="10">
        <f>+SUM(Tabla1[[#This Row],[Neto]:[Impuestos Internos / Otros Tributos]])</f>
        <v>465600</v>
      </c>
      <c r="W479" s="10">
        <f>+Tabla1[[#This Row],[Total]]</f>
        <v>465600</v>
      </c>
      <c r="X479" s="10">
        <v>0</v>
      </c>
      <c r="Y479" s="49" t="s">
        <v>324</v>
      </c>
      <c r="AA479" s="109">
        <v>45611</v>
      </c>
      <c r="AB479" s="32">
        <f>+Tabla1[[#This Row],[Total a Pagar]]</f>
        <v>465600</v>
      </c>
      <c r="AH479" s="10">
        <v>0</v>
      </c>
      <c r="AJ479" s="188"/>
    </row>
    <row r="480" spans="1:36" hidden="1" x14ac:dyDescent="0.3">
      <c r="A480" s="8" t="s">
        <v>711</v>
      </c>
      <c r="B480" s="53">
        <v>45609</v>
      </c>
      <c r="C480" s="69" t="s">
        <v>26</v>
      </c>
      <c r="D480" s="67" t="s">
        <v>27</v>
      </c>
      <c r="E480" s="70" t="s">
        <v>37</v>
      </c>
      <c r="F480" s="9" t="s">
        <v>176</v>
      </c>
      <c r="G480" s="4" t="s">
        <v>48</v>
      </c>
      <c r="H480" s="71">
        <v>27235843604</v>
      </c>
      <c r="I480" s="4" t="s">
        <v>880</v>
      </c>
      <c r="J480" s="67" t="s">
        <v>381</v>
      </c>
      <c r="K480" s="173">
        <v>1</v>
      </c>
      <c r="L480" s="10">
        <v>446400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f>+SUM(Tabla1[[#This Row],[IVA 21%]:[IVA 27%]])</f>
        <v>0</v>
      </c>
      <c r="V480" s="10">
        <f>+SUM(Tabla1[[#This Row],[Neto]:[Impuestos Internos / Otros Tributos]])</f>
        <v>446400</v>
      </c>
      <c r="W480" s="10">
        <f>+Tabla1[[#This Row],[Total]]</f>
        <v>446400</v>
      </c>
      <c r="X480" s="10">
        <v>0</v>
      </c>
      <c r="Y480" s="49" t="s">
        <v>324</v>
      </c>
      <c r="AA480" s="109">
        <v>45611</v>
      </c>
      <c r="AB480" s="32">
        <f>+Tabla1[[#This Row],[Total a Pagar]]</f>
        <v>446400</v>
      </c>
      <c r="AH480" s="10">
        <v>0</v>
      </c>
      <c r="AJ480" s="188"/>
    </row>
    <row r="481" spans="1:36" hidden="1" x14ac:dyDescent="0.3">
      <c r="A481" s="8" t="s">
        <v>711</v>
      </c>
      <c r="B481" s="53">
        <v>45609</v>
      </c>
      <c r="C481" s="69" t="s">
        <v>26</v>
      </c>
      <c r="D481" s="67" t="s">
        <v>27</v>
      </c>
      <c r="E481" s="70" t="s">
        <v>28</v>
      </c>
      <c r="F481" s="9" t="s">
        <v>47</v>
      </c>
      <c r="G481" s="4" t="s">
        <v>56</v>
      </c>
      <c r="H481" s="71">
        <v>20288248398</v>
      </c>
      <c r="I481" s="4" t="s">
        <v>881</v>
      </c>
      <c r="J481" s="67" t="s">
        <v>381</v>
      </c>
      <c r="K481" s="173">
        <v>1</v>
      </c>
      <c r="L481" s="10">
        <v>72000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f>+SUM(Tabla1[[#This Row],[IVA 21%]:[IVA 27%]])</f>
        <v>0</v>
      </c>
      <c r="V481" s="10">
        <f>+SUM(Tabla1[[#This Row],[Neto]:[Impuestos Internos / Otros Tributos]])</f>
        <v>72000</v>
      </c>
      <c r="W481" s="10">
        <f>+Tabla1[[#This Row],[Total]]</f>
        <v>72000</v>
      </c>
      <c r="X481" s="10">
        <v>0</v>
      </c>
      <c r="Y481" s="49" t="s">
        <v>324</v>
      </c>
      <c r="AA481" s="109">
        <v>45611</v>
      </c>
      <c r="AB481" s="32">
        <f>+Tabla1[[#This Row],[Total a Pagar]]</f>
        <v>72000</v>
      </c>
      <c r="AH481" s="10">
        <v>0</v>
      </c>
      <c r="AJ481" s="188"/>
    </row>
    <row r="482" spans="1:36" hidden="1" x14ac:dyDescent="0.3">
      <c r="A482" s="8" t="s">
        <v>711</v>
      </c>
      <c r="B482" s="53">
        <v>45609</v>
      </c>
      <c r="C482" s="12" t="s">
        <v>26</v>
      </c>
      <c r="D482" s="8" t="s">
        <v>27</v>
      </c>
      <c r="E482" s="9" t="s">
        <v>37</v>
      </c>
      <c r="F482" s="9" t="s">
        <v>432</v>
      </c>
      <c r="G482" s="4" t="s">
        <v>42</v>
      </c>
      <c r="H482" s="4">
        <v>23332501879</v>
      </c>
      <c r="I482" s="4" t="s">
        <v>895</v>
      </c>
      <c r="J482" s="8" t="s">
        <v>381</v>
      </c>
      <c r="K482" s="173">
        <v>1</v>
      </c>
      <c r="L482" s="10">
        <v>518400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f>+SUM(Tabla1[[#This Row],[IVA 21%]:[IVA 27%]])</f>
        <v>0</v>
      </c>
      <c r="V482" s="10">
        <f>+SUM(Tabla1[[#This Row],[Neto]:[Impuestos Internos / Otros Tributos]])</f>
        <v>518400</v>
      </c>
      <c r="W482" s="10">
        <f>+Tabla1[[#This Row],[Total]]</f>
        <v>518400</v>
      </c>
      <c r="X482" s="10">
        <v>0</v>
      </c>
      <c r="Y482" s="49" t="s">
        <v>324</v>
      </c>
      <c r="AA482" s="109">
        <v>45611</v>
      </c>
      <c r="AB482" s="32">
        <f>+Tabla1[[#This Row],[Total a Pagar]]</f>
        <v>518400</v>
      </c>
      <c r="AH482" s="10">
        <v>0</v>
      </c>
      <c r="AJ482" s="188"/>
    </row>
    <row r="483" spans="1:36" hidden="1" x14ac:dyDescent="0.3">
      <c r="A483" s="8" t="s">
        <v>711</v>
      </c>
      <c r="B483" s="53">
        <v>45609</v>
      </c>
      <c r="C483" s="12" t="s">
        <v>26</v>
      </c>
      <c r="D483" s="8" t="s">
        <v>27</v>
      </c>
      <c r="E483" s="9" t="s">
        <v>37</v>
      </c>
      <c r="F483" s="9" t="s">
        <v>43</v>
      </c>
      <c r="G483" s="4" t="s">
        <v>248</v>
      </c>
      <c r="H483" s="4">
        <v>27382124184</v>
      </c>
      <c r="I483" s="4" t="s">
        <v>895</v>
      </c>
      <c r="J483" s="8" t="s">
        <v>381</v>
      </c>
      <c r="K483" s="173">
        <v>1</v>
      </c>
      <c r="L483" s="10">
        <v>384000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f>+SUM(Tabla1[[#This Row],[IVA 21%]:[IVA 27%]])</f>
        <v>0</v>
      </c>
      <c r="V483" s="10">
        <f>+SUM(Tabla1[[#This Row],[Neto]:[Impuestos Internos / Otros Tributos]])</f>
        <v>384000</v>
      </c>
      <c r="W483" s="10">
        <f>+Tabla1[[#This Row],[Total]]</f>
        <v>384000</v>
      </c>
      <c r="X483" s="10">
        <v>0</v>
      </c>
      <c r="Y483" s="49" t="s">
        <v>324</v>
      </c>
      <c r="AA483" s="109">
        <v>45611</v>
      </c>
      <c r="AB483" s="32">
        <f>+Tabla1[[#This Row],[Total a Pagar]]</f>
        <v>384000</v>
      </c>
      <c r="AH483" s="10">
        <v>0</v>
      </c>
      <c r="AJ483" s="188"/>
    </row>
    <row r="484" spans="1:36" hidden="1" x14ac:dyDescent="0.3">
      <c r="A484" s="8" t="s">
        <v>711</v>
      </c>
      <c r="B484" s="53">
        <v>45609</v>
      </c>
      <c r="C484" s="12" t="s">
        <v>26</v>
      </c>
      <c r="D484" s="59" t="s">
        <v>27</v>
      </c>
      <c r="E484" s="62" t="s">
        <v>37</v>
      </c>
      <c r="F484" s="9" t="s">
        <v>896</v>
      </c>
      <c r="G484" s="4" t="s">
        <v>897</v>
      </c>
      <c r="H484" s="63">
        <v>27330903908</v>
      </c>
      <c r="I484" s="4" t="s">
        <v>898</v>
      </c>
      <c r="J484" s="59" t="s">
        <v>381</v>
      </c>
      <c r="K484" s="173">
        <v>1</v>
      </c>
      <c r="L484" s="10">
        <v>453600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f>+SUM(Tabla1[[#This Row],[IVA 21%]:[IVA 27%]])</f>
        <v>0</v>
      </c>
      <c r="V484" s="10">
        <f>+SUM(Tabla1[[#This Row],[Neto]:[Impuestos Internos / Otros Tributos]])</f>
        <v>453600</v>
      </c>
      <c r="W484" s="10">
        <f>+Tabla1[[#This Row],[Total]]</f>
        <v>453600</v>
      </c>
      <c r="X484" s="10">
        <v>0</v>
      </c>
      <c r="Y484" s="49" t="s">
        <v>324</v>
      </c>
      <c r="AA484" s="109">
        <v>45611</v>
      </c>
      <c r="AB484" s="32">
        <f>+Tabla1[[#This Row],[Total a Pagar]]</f>
        <v>453600</v>
      </c>
      <c r="AH484" s="10">
        <v>0</v>
      </c>
      <c r="AJ484" s="188"/>
    </row>
    <row r="485" spans="1:36" hidden="1" x14ac:dyDescent="0.3">
      <c r="A485" s="8" t="s">
        <v>711</v>
      </c>
      <c r="B485" s="53">
        <v>45609</v>
      </c>
      <c r="C485" s="61" t="s">
        <v>26</v>
      </c>
      <c r="D485" s="59" t="s">
        <v>27</v>
      </c>
      <c r="E485" s="62" t="s">
        <v>37</v>
      </c>
      <c r="F485" s="9" t="s">
        <v>899</v>
      </c>
      <c r="G485" s="63" t="s">
        <v>53</v>
      </c>
      <c r="H485" s="63">
        <v>23286334334</v>
      </c>
      <c r="I485" s="4" t="s">
        <v>900</v>
      </c>
      <c r="J485" s="59" t="s">
        <v>381</v>
      </c>
      <c r="K485" s="173">
        <v>1</v>
      </c>
      <c r="L485" s="10">
        <v>458400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f>+SUM(Tabla1[[#This Row],[IVA 21%]:[IVA 27%]])</f>
        <v>0</v>
      </c>
      <c r="V485" s="10">
        <f>+SUM(Tabla1[[#This Row],[Neto]:[Impuestos Internos / Otros Tributos]])</f>
        <v>458400</v>
      </c>
      <c r="W485" s="10">
        <f>+Tabla1[[#This Row],[Total]]</f>
        <v>458400</v>
      </c>
      <c r="X485" s="10">
        <v>0</v>
      </c>
      <c r="Y485" s="49" t="s">
        <v>324</v>
      </c>
      <c r="AA485" s="109">
        <v>45611</v>
      </c>
      <c r="AB485" s="32">
        <f>+Tabla1[[#This Row],[Total a Pagar]]</f>
        <v>458400</v>
      </c>
      <c r="AH485" s="10">
        <v>0</v>
      </c>
      <c r="AJ485" s="188"/>
    </row>
    <row r="486" spans="1:36" hidden="1" x14ac:dyDescent="0.3">
      <c r="A486" s="8" t="s">
        <v>711</v>
      </c>
      <c r="B486" s="53">
        <v>45609</v>
      </c>
      <c r="C486" s="12" t="s">
        <v>26</v>
      </c>
      <c r="D486" s="8" t="s">
        <v>27</v>
      </c>
      <c r="E486" s="9" t="s">
        <v>28</v>
      </c>
      <c r="F486" s="9" t="s">
        <v>176</v>
      </c>
      <c r="G486" s="4" t="s">
        <v>249</v>
      </c>
      <c r="H486" s="4">
        <v>27414097087</v>
      </c>
      <c r="I486" s="4" t="s">
        <v>898</v>
      </c>
      <c r="J486" s="8" t="s">
        <v>381</v>
      </c>
      <c r="K486" s="173">
        <v>1</v>
      </c>
      <c r="L486" s="10">
        <v>120000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f>+SUM(Tabla1[[#This Row],[IVA 21%]:[IVA 27%]])</f>
        <v>0</v>
      </c>
      <c r="V486" s="10">
        <f>+SUM(Tabla1[[#This Row],[Neto]:[Impuestos Internos / Otros Tributos]])</f>
        <v>120000</v>
      </c>
      <c r="W486" s="64">
        <f>+Tabla1[[#This Row],[Total]]</f>
        <v>120000</v>
      </c>
      <c r="X486" s="10">
        <v>0</v>
      </c>
      <c r="Y486" s="49" t="s">
        <v>324</v>
      </c>
      <c r="AA486" s="109">
        <v>45611</v>
      </c>
      <c r="AB486" s="32">
        <f>+Tabla1[[#This Row],[Total a Pagar]]</f>
        <v>120000</v>
      </c>
      <c r="AH486" s="10">
        <v>0</v>
      </c>
      <c r="AJ486" s="188"/>
    </row>
    <row r="487" spans="1:36" hidden="1" x14ac:dyDescent="0.3">
      <c r="A487" s="8" t="s">
        <v>711</v>
      </c>
      <c r="B487" s="53">
        <v>45609</v>
      </c>
      <c r="C487" s="12" t="s">
        <v>26</v>
      </c>
      <c r="D487" s="8" t="s">
        <v>27</v>
      </c>
      <c r="E487" s="9" t="s">
        <v>28</v>
      </c>
      <c r="F487" s="9" t="s">
        <v>540</v>
      </c>
      <c r="G487" s="4" t="s">
        <v>566</v>
      </c>
      <c r="H487" s="4">
        <v>23373034894</v>
      </c>
      <c r="I487" s="4" t="s">
        <v>904</v>
      </c>
      <c r="J487" s="8" t="s">
        <v>381</v>
      </c>
      <c r="K487" s="173">
        <v>1</v>
      </c>
      <c r="L487" s="10">
        <v>215000</v>
      </c>
      <c r="M487" s="10">
        <v>0</v>
      </c>
      <c r="N487" s="10">
        <v>0</v>
      </c>
      <c r="O487" s="10">
        <v>0</v>
      </c>
      <c r="P487" s="10"/>
      <c r="Q487" s="10">
        <v>0</v>
      </c>
      <c r="R487" s="10">
        <v>0</v>
      </c>
      <c r="S487" s="10">
        <v>0</v>
      </c>
      <c r="T487" s="10">
        <v>0</v>
      </c>
      <c r="U487" s="10">
        <f>+SUM(Tabla1[[#This Row],[IVA 21%]:[IVA 27%]])</f>
        <v>0</v>
      </c>
      <c r="V487" s="10">
        <f>+SUM(Tabla1[[#This Row],[Neto]:[Impuestos Internos / Otros Tributos]])</f>
        <v>215000</v>
      </c>
      <c r="W487" s="72">
        <f>+Tabla1[[#This Row],[Total]]</f>
        <v>215000</v>
      </c>
      <c r="X487" s="10">
        <v>0</v>
      </c>
      <c r="Y487" s="49" t="s">
        <v>324</v>
      </c>
      <c r="AA487" s="109">
        <v>45611</v>
      </c>
      <c r="AB487" s="32">
        <f>+Tabla1[[#This Row],[Total a Pagar]]</f>
        <v>215000</v>
      </c>
      <c r="AH487" s="10">
        <v>0</v>
      </c>
      <c r="AJ487" s="188"/>
    </row>
    <row r="488" spans="1:36" hidden="1" x14ac:dyDescent="0.3">
      <c r="A488" s="8" t="s">
        <v>711</v>
      </c>
      <c r="B488" s="53">
        <v>45609</v>
      </c>
      <c r="C488" s="12" t="s">
        <v>26</v>
      </c>
      <c r="D488" s="8" t="s">
        <v>27</v>
      </c>
      <c r="E488" s="9" t="s">
        <v>28</v>
      </c>
      <c r="F488" s="9" t="s">
        <v>167</v>
      </c>
      <c r="G488" s="4" t="s">
        <v>241</v>
      </c>
      <c r="H488" s="4">
        <v>27357831267</v>
      </c>
      <c r="I488" s="4" t="s">
        <v>898</v>
      </c>
      <c r="J488" s="8" t="s">
        <v>381</v>
      </c>
      <c r="K488" s="173">
        <v>1</v>
      </c>
      <c r="L488" s="10">
        <v>120000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f>+SUM(Tabla1[[#This Row],[IVA 21%]:[IVA 27%]])</f>
        <v>0</v>
      </c>
      <c r="V488" s="10">
        <f>+SUM(Tabla1[[#This Row],[Neto]:[Impuestos Internos / Otros Tributos]])</f>
        <v>120000</v>
      </c>
      <c r="W488" s="10">
        <f>+Tabla1[[#This Row],[Total]]</f>
        <v>120000</v>
      </c>
      <c r="X488" s="10">
        <v>0</v>
      </c>
      <c r="Y488" s="49" t="s">
        <v>324</v>
      </c>
      <c r="AA488" s="109">
        <v>45611</v>
      </c>
      <c r="AB488" s="32">
        <f>+Tabla1[[#This Row],[Total a Pagar]]</f>
        <v>120000</v>
      </c>
      <c r="AJ488" s="188"/>
    </row>
    <row r="489" spans="1:36" hidden="1" x14ac:dyDescent="0.3">
      <c r="A489" s="8" t="s">
        <v>711</v>
      </c>
      <c r="B489" s="53">
        <v>45610</v>
      </c>
      <c r="C489" s="12" t="s">
        <v>26</v>
      </c>
      <c r="D489" s="8" t="s">
        <v>27</v>
      </c>
      <c r="E489" s="9" t="s">
        <v>28</v>
      </c>
      <c r="F489" s="9" t="s">
        <v>172</v>
      </c>
      <c r="G489" s="4" t="s">
        <v>521</v>
      </c>
      <c r="H489" s="4">
        <v>20399039569</v>
      </c>
      <c r="I489" s="4" t="s">
        <v>884</v>
      </c>
      <c r="J489" s="8" t="s">
        <v>381</v>
      </c>
      <c r="K489" s="173">
        <v>1</v>
      </c>
      <c r="L489" s="10">
        <v>360000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f>+SUM(Tabla1[[#This Row],[IVA 21%]:[IVA 27%]])</f>
        <v>0</v>
      </c>
      <c r="V489" s="10">
        <f>+SUM(Tabla1[[#This Row],[Neto]:[Impuestos Internos / Otros Tributos]])</f>
        <v>360000</v>
      </c>
      <c r="W489" s="72">
        <f>+Tabla1[[#This Row],[Total]]</f>
        <v>360000</v>
      </c>
      <c r="X489" s="10">
        <v>0</v>
      </c>
      <c r="Y489" s="49" t="s">
        <v>324</v>
      </c>
      <c r="AA489" s="109">
        <v>45611</v>
      </c>
      <c r="AB489" s="32">
        <f>+Tabla1[[#This Row],[Total a Pagar]]</f>
        <v>360000</v>
      </c>
      <c r="AH489" s="10">
        <v>0</v>
      </c>
      <c r="AJ489" s="188"/>
    </row>
    <row r="490" spans="1:36" hidden="1" x14ac:dyDescent="0.3">
      <c r="A490" s="8" t="s">
        <v>711</v>
      </c>
      <c r="B490" s="53">
        <v>45610</v>
      </c>
      <c r="C490" s="12" t="s">
        <v>26</v>
      </c>
      <c r="D490" s="8" t="s">
        <v>27</v>
      </c>
      <c r="E490" s="9" t="s">
        <v>28</v>
      </c>
      <c r="F490" s="9" t="s">
        <v>55</v>
      </c>
      <c r="G490" s="4" t="s">
        <v>521</v>
      </c>
      <c r="H490" s="4">
        <v>20399039569</v>
      </c>
      <c r="I490" s="4" t="s">
        <v>889</v>
      </c>
      <c r="J490" s="8" t="s">
        <v>381</v>
      </c>
      <c r="K490" s="173">
        <v>1</v>
      </c>
      <c r="L490" s="10">
        <v>2576400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f>+SUM(Tabla1[[#This Row],[IVA 21%]:[IVA 27%]])</f>
        <v>0</v>
      </c>
      <c r="V490" s="10">
        <f>+SUM(Tabla1[[#This Row],[Neto]:[Impuestos Internos / Otros Tributos]])</f>
        <v>2576400</v>
      </c>
      <c r="W490" s="72">
        <f>+Tabla1[[#This Row],[Total]]</f>
        <v>2576400</v>
      </c>
      <c r="X490" s="10">
        <v>0</v>
      </c>
      <c r="Y490" s="49" t="s">
        <v>324</v>
      </c>
      <c r="AA490" s="109">
        <v>45611</v>
      </c>
      <c r="AB490" s="32">
        <f>+Tabla1[[#This Row],[Total a Pagar]]</f>
        <v>2576400</v>
      </c>
      <c r="AH490" s="10">
        <v>0</v>
      </c>
      <c r="AJ490" s="188"/>
    </row>
    <row r="491" spans="1:36" hidden="1" x14ac:dyDescent="0.3">
      <c r="A491" s="8" t="s">
        <v>711</v>
      </c>
      <c r="B491" s="53">
        <v>45610</v>
      </c>
      <c r="C491" s="12" t="s">
        <v>26</v>
      </c>
      <c r="D491" s="8" t="s">
        <v>27</v>
      </c>
      <c r="E491" s="9" t="s">
        <v>28</v>
      </c>
      <c r="F491" s="9" t="s">
        <v>157</v>
      </c>
      <c r="G491" s="4" t="s">
        <v>901</v>
      </c>
      <c r="H491" s="4">
        <v>27291745046</v>
      </c>
      <c r="I491" s="4" t="s">
        <v>902</v>
      </c>
      <c r="J491" s="8" t="s">
        <v>381</v>
      </c>
      <c r="K491" s="173">
        <v>1</v>
      </c>
      <c r="L491" s="10">
        <v>550800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f>+SUM(Tabla1[[#This Row],[IVA 21%]:[IVA 27%]])</f>
        <v>0</v>
      </c>
      <c r="V491" s="10">
        <f>+SUM(Tabla1[[#This Row],[Neto]:[Impuestos Internos / Otros Tributos]])</f>
        <v>550800</v>
      </c>
      <c r="W491" s="64">
        <f>+Tabla1[[#This Row],[Total]]</f>
        <v>550800</v>
      </c>
      <c r="X491" s="10">
        <v>0</v>
      </c>
      <c r="Y491" s="49" t="s">
        <v>324</v>
      </c>
      <c r="AA491" s="109">
        <v>45611</v>
      </c>
      <c r="AB491" s="32">
        <f>+Tabla1[[#This Row],[Total a Pagar]]</f>
        <v>550800</v>
      </c>
      <c r="AH491" s="10">
        <v>0</v>
      </c>
      <c r="AJ491" s="188"/>
    </row>
    <row r="492" spans="1:36" hidden="1" x14ac:dyDescent="0.3">
      <c r="A492" s="8" t="s">
        <v>711</v>
      </c>
      <c r="B492" s="53">
        <v>45611</v>
      </c>
      <c r="C492" s="37" t="s">
        <v>26</v>
      </c>
      <c r="D492" s="36" t="s">
        <v>58</v>
      </c>
      <c r="E492" s="45" t="s">
        <v>118</v>
      </c>
      <c r="F492" s="9" t="s">
        <v>894</v>
      </c>
      <c r="G492" s="38" t="s">
        <v>120</v>
      </c>
      <c r="H492" s="38">
        <v>33707243479</v>
      </c>
      <c r="I492" s="4" t="s">
        <v>893</v>
      </c>
      <c r="J492" s="36" t="s">
        <v>381</v>
      </c>
      <c r="K492" s="173">
        <v>1</v>
      </c>
      <c r="L492" s="10">
        <v>108264.46</v>
      </c>
      <c r="M492" s="10">
        <f>+Tabla1[[#This Row],[Neto]]*21%</f>
        <v>22735.536599999999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f>+SUM(Tabla1[[#This Row],[IVA 21%]:[IVA 27%]])</f>
        <v>22735.536599999999</v>
      </c>
      <c r="V492" s="10">
        <f>+SUM(Tabla1[[#This Row],[Neto]:[Impuestos Internos / Otros Tributos]])</f>
        <v>130999.99660000001</v>
      </c>
      <c r="W492" s="10">
        <f>+Tabla1[[#This Row],[Total]]</f>
        <v>130999.99660000001</v>
      </c>
      <c r="X492" s="10">
        <v>0</v>
      </c>
      <c r="Y492" s="49" t="s">
        <v>324</v>
      </c>
      <c r="AA492" s="109">
        <v>45611</v>
      </c>
      <c r="AB492" s="32">
        <f>+Tabla1[[#This Row],[Total a Pagar]]</f>
        <v>130999.99660000001</v>
      </c>
      <c r="AH492" s="10">
        <v>0</v>
      </c>
      <c r="AJ492" s="188"/>
    </row>
    <row r="493" spans="1:36" hidden="1" x14ac:dyDescent="0.3">
      <c r="A493" s="8" t="s">
        <v>711</v>
      </c>
      <c r="B493" s="53">
        <v>45611</v>
      </c>
      <c r="C493" s="12" t="s">
        <v>402</v>
      </c>
      <c r="D493" s="8" t="s">
        <v>27</v>
      </c>
      <c r="E493" s="9" t="s">
        <v>28</v>
      </c>
      <c r="F493" s="9" t="s">
        <v>531</v>
      </c>
      <c r="G493" s="4" t="s">
        <v>226</v>
      </c>
      <c r="H493" s="4">
        <v>27410953345</v>
      </c>
      <c r="I493" s="4" t="s">
        <v>898</v>
      </c>
      <c r="J493" s="8" t="s">
        <v>381</v>
      </c>
      <c r="K493" s="173">
        <v>1</v>
      </c>
      <c r="L493" s="10">
        <v>45600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f>+SUM(Tabla1[[#This Row],[IVA 21%]:[IVA 27%]])</f>
        <v>0</v>
      </c>
      <c r="V493" s="10">
        <f>+SUM(Tabla1[[#This Row],[Neto]:[Impuestos Internos / Otros Tributos]])</f>
        <v>45600</v>
      </c>
      <c r="W493" s="64">
        <f>+Tabla1[[#This Row],[Total]]</f>
        <v>45600</v>
      </c>
      <c r="X493" s="10">
        <v>0</v>
      </c>
      <c r="Y493" s="49" t="s">
        <v>324</v>
      </c>
      <c r="AA493" s="109">
        <v>45611</v>
      </c>
      <c r="AB493" s="32">
        <f>+Tabla1[[#This Row],[Total a Pagar]]</f>
        <v>45600</v>
      </c>
      <c r="AH493" s="10">
        <v>0</v>
      </c>
      <c r="AJ493" s="188"/>
    </row>
    <row r="494" spans="1:36" hidden="1" x14ac:dyDescent="0.3">
      <c r="A494" s="8" t="s">
        <v>711</v>
      </c>
      <c r="B494" s="53">
        <v>45611</v>
      </c>
      <c r="C494" s="12" t="s">
        <v>402</v>
      </c>
      <c r="D494" s="8" t="s">
        <v>27</v>
      </c>
      <c r="E494" s="9" t="s">
        <v>28</v>
      </c>
      <c r="F494" s="9" t="s">
        <v>169</v>
      </c>
      <c r="G494" s="4" t="s">
        <v>258</v>
      </c>
      <c r="H494" s="4">
        <v>27373720904</v>
      </c>
      <c r="I494" s="4" t="s">
        <v>903</v>
      </c>
      <c r="J494" s="8" t="s">
        <v>381</v>
      </c>
      <c r="K494" s="173">
        <v>1</v>
      </c>
      <c r="L494" s="10">
        <v>118000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f>+SUM(Tabla1[[#This Row],[IVA 21%]:[IVA 27%]])</f>
        <v>0</v>
      </c>
      <c r="V494" s="10">
        <f>+SUM(Tabla1[[#This Row],[Neto]:[Impuestos Internos / Otros Tributos]])</f>
        <v>118000</v>
      </c>
      <c r="W494" s="10">
        <f>+Tabla1[[#This Row],[Total]]</f>
        <v>118000</v>
      </c>
      <c r="X494" s="10">
        <v>0</v>
      </c>
      <c r="Y494" s="49" t="s">
        <v>324</v>
      </c>
      <c r="AA494" s="109">
        <v>45611</v>
      </c>
      <c r="AB494" s="32">
        <f>+Tabla1[[#This Row],[Total a Pagar]]</f>
        <v>118000</v>
      </c>
      <c r="AH494" s="10">
        <v>0</v>
      </c>
      <c r="AJ494" s="188"/>
    </row>
    <row r="495" spans="1:36" hidden="1" x14ac:dyDescent="0.3">
      <c r="A495" s="8" t="s">
        <v>711</v>
      </c>
      <c r="B495" s="53">
        <v>45611</v>
      </c>
      <c r="C495" s="12" t="s">
        <v>26</v>
      </c>
      <c r="D495" s="8" t="s">
        <v>27</v>
      </c>
      <c r="E495" s="9" t="s">
        <v>32</v>
      </c>
      <c r="F495" s="9" t="s">
        <v>906</v>
      </c>
      <c r="G495" s="4" t="s">
        <v>34</v>
      </c>
      <c r="H495" s="4">
        <v>27260306680</v>
      </c>
      <c r="I495" s="4" t="s">
        <v>905</v>
      </c>
      <c r="J495" s="8" t="s">
        <v>381</v>
      </c>
      <c r="K495" s="173">
        <v>1</v>
      </c>
      <c r="L495" s="10">
        <v>240000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f>+SUM(Tabla1[[#This Row],[IVA 21%]:[IVA 27%]])</f>
        <v>0</v>
      </c>
      <c r="V495" s="10">
        <f>+SUM(Tabla1[[#This Row],[Neto]:[Impuestos Internos / Otros Tributos]])</f>
        <v>240000</v>
      </c>
      <c r="W495" s="10">
        <f>+Tabla1[[#This Row],[Total]]</f>
        <v>240000</v>
      </c>
      <c r="X495" s="10">
        <v>0</v>
      </c>
      <c r="Y495" s="49" t="s">
        <v>324</v>
      </c>
      <c r="AA495" s="109">
        <v>45611</v>
      </c>
      <c r="AB495" s="32">
        <f>+Tabla1[[#This Row],[Total a Pagar]]</f>
        <v>240000</v>
      </c>
      <c r="AH495" s="10">
        <v>0</v>
      </c>
      <c r="AJ495" s="188"/>
    </row>
    <row r="496" spans="1:36" hidden="1" x14ac:dyDescent="0.3">
      <c r="A496" s="175" t="s">
        <v>711</v>
      </c>
      <c r="B496" s="176">
        <v>45611</v>
      </c>
      <c r="C496" s="177" t="s">
        <v>26</v>
      </c>
      <c r="D496" s="175" t="s">
        <v>27</v>
      </c>
      <c r="E496" s="178" t="s">
        <v>32</v>
      </c>
      <c r="F496" s="178" t="s">
        <v>128</v>
      </c>
      <c r="G496" s="179" t="s">
        <v>34</v>
      </c>
      <c r="H496" s="179">
        <v>27260306680</v>
      </c>
      <c r="I496" s="4" t="s">
        <v>907</v>
      </c>
      <c r="J496" s="175" t="s">
        <v>381</v>
      </c>
      <c r="K496" s="180">
        <v>1</v>
      </c>
      <c r="L496" s="181">
        <v>336000</v>
      </c>
      <c r="M496" s="181">
        <v>0</v>
      </c>
      <c r="N496" s="181">
        <v>0</v>
      </c>
      <c r="O496" s="181">
        <v>0</v>
      </c>
      <c r="P496" s="181">
        <v>0</v>
      </c>
      <c r="Q496" s="181">
        <v>0</v>
      </c>
      <c r="R496" s="181">
        <v>0</v>
      </c>
      <c r="S496" s="181">
        <v>0</v>
      </c>
      <c r="T496" s="181">
        <v>0</v>
      </c>
      <c r="U496" s="181">
        <f>+SUM(Tabla1[[#This Row],[IVA 21%]:[IVA 27%]])</f>
        <v>0</v>
      </c>
      <c r="V496" s="10">
        <f>+SUM(Tabla1[[#This Row],[Neto]:[Impuestos Internos / Otros Tributos]])</f>
        <v>336000</v>
      </c>
      <c r="W496" s="10">
        <f>+Tabla1[[#This Row],[Total]]</f>
        <v>336000</v>
      </c>
      <c r="X496" s="181">
        <v>0</v>
      </c>
      <c r="Y496" s="182" t="s">
        <v>324</v>
      </c>
      <c r="Z496" s="182"/>
      <c r="AA496" s="183">
        <v>45611</v>
      </c>
      <c r="AB496" s="184">
        <f>+Tabla1[[#This Row],[Total a Pagar]]</f>
        <v>336000</v>
      </c>
      <c r="AC496" s="179"/>
      <c r="AD496" s="179"/>
      <c r="AE496" s="179"/>
      <c r="AF496" s="179"/>
      <c r="AG496" s="179"/>
      <c r="AH496" s="181">
        <v>0</v>
      </c>
      <c r="AI496" s="179"/>
      <c r="AJ496" s="188"/>
    </row>
    <row r="497" spans="1:36" hidden="1" x14ac:dyDescent="0.3">
      <c r="A497" s="175" t="s">
        <v>711</v>
      </c>
      <c r="B497" s="176">
        <v>45611</v>
      </c>
      <c r="C497" s="37" t="s">
        <v>26</v>
      </c>
      <c r="D497" s="36" t="s">
        <v>27</v>
      </c>
      <c r="E497" s="45" t="s">
        <v>28</v>
      </c>
      <c r="F497" s="9" t="s">
        <v>908</v>
      </c>
      <c r="G497" s="38" t="s">
        <v>31</v>
      </c>
      <c r="H497" s="38">
        <v>27386533550</v>
      </c>
      <c r="I497" s="4" t="s">
        <v>909</v>
      </c>
      <c r="J497" s="36" t="s">
        <v>381</v>
      </c>
      <c r="K497" s="180">
        <v>1</v>
      </c>
      <c r="L497" s="181">
        <v>512000</v>
      </c>
      <c r="M497" s="181">
        <v>0</v>
      </c>
      <c r="N497" s="181">
        <v>0</v>
      </c>
      <c r="O497" s="181">
        <v>0</v>
      </c>
      <c r="P497" s="181">
        <v>0</v>
      </c>
      <c r="Q497" s="181">
        <v>0</v>
      </c>
      <c r="R497" s="181">
        <v>0</v>
      </c>
      <c r="S497" s="181">
        <v>0</v>
      </c>
      <c r="T497" s="181">
        <v>0</v>
      </c>
      <c r="U497" s="181">
        <f>+SUM(Tabla1[[#This Row],[IVA 21%]:[IVA 27%]])</f>
        <v>0</v>
      </c>
      <c r="V497" s="10">
        <f>+SUM(Tabla1[[#This Row],[Neto]:[Impuestos Internos / Otros Tributos]])</f>
        <v>512000</v>
      </c>
      <c r="W497" s="39">
        <f>+Tabla1[[#This Row],[Total]]</f>
        <v>512000</v>
      </c>
      <c r="X497" s="181">
        <v>0</v>
      </c>
      <c r="Y497" s="182" t="s">
        <v>324</v>
      </c>
      <c r="Z497" s="182"/>
      <c r="AA497" s="183">
        <v>45611</v>
      </c>
      <c r="AB497" s="184">
        <f>+Tabla1[[#This Row],[Total a Pagar]]</f>
        <v>512000</v>
      </c>
      <c r="AC497" s="179"/>
      <c r="AD497" s="179"/>
      <c r="AE497" s="179"/>
      <c r="AF497" s="179"/>
      <c r="AG497" s="179"/>
      <c r="AH497" s="181">
        <v>0</v>
      </c>
      <c r="AI497" s="179"/>
      <c r="AJ497" s="188"/>
    </row>
    <row r="498" spans="1:36" hidden="1" x14ac:dyDescent="0.3">
      <c r="A498" s="175" t="s">
        <v>711</v>
      </c>
      <c r="B498" s="176">
        <v>45611</v>
      </c>
      <c r="C498" s="177" t="s">
        <v>26</v>
      </c>
      <c r="D498" s="175" t="s">
        <v>27</v>
      </c>
      <c r="E498" s="178" t="s">
        <v>28</v>
      </c>
      <c r="F498" s="178" t="s">
        <v>159</v>
      </c>
      <c r="G498" s="179" t="s">
        <v>537</v>
      </c>
      <c r="H498" s="179">
        <v>23386529744</v>
      </c>
      <c r="I498" s="179" t="s">
        <v>909</v>
      </c>
      <c r="J498" s="175" t="s">
        <v>381</v>
      </c>
      <c r="K498" s="180">
        <v>1</v>
      </c>
      <c r="L498" s="181">
        <v>512000</v>
      </c>
      <c r="M498" s="181">
        <v>0</v>
      </c>
      <c r="N498" s="181">
        <v>0</v>
      </c>
      <c r="O498" s="181">
        <v>0</v>
      </c>
      <c r="P498" s="181">
        <v>0</v>
      </c>
      <c r="Q498" s="181">
        <v>0</v>
      </c>
      <c r="R498" s="181">
        <v>0</v>
      </c>
      <c r="S498" s="181">
        <v>0</v>
      </c>
      <c r="T498" s="181">
        <v>0</v>
      </c>
      <c r="U498" s="181">
        <f>+SUM(Tabla1[[#This Row],[IVA 21%]:[IVA 27%]])</f>
        <v>0</v>
      </c>
      <c r="V498" s="10">
        <f>+SUM(Tabla1[[#This Row],[Neto]:[Impuestos Internos / Otros Tributos]])</f>
        <v>512000</v>
      </c>
      <c r="W498" s="181">
        <f>+Tabla1[[#This Row],[Total]]</f>
        <v>512000</v>
      </c>
      <c r="X498" s="181">
        <v>0</v>
      </c>
      <c r="Y498" s="182" t="s">
        <v>324</v>
      </c>
      <c r="Z498" s="182"/>
      <c r="AA498" s="183">
        <v>45611</v>
      </c>
      <c r="AB498" s="184">
        <f>+Tabla1[[#This Row],[Total a Pagar]]</f>
        <v>512000</v>
      </c>
      <c r="AC498" s="179"/>
      <c r="AD498" s="179"/>
      <c r="AE498" s="179"/>
      <c r="AF498" s="179"/>
      <c r="AG498" s="179"/>
      <c r="AH498" s="181">
        <v>0</v>
      </c>
      <c r="AI498" s="179"/>
      <c r="AJ498" s="188"/>
    </row>
    <row r="499" spans="1:36" hidden="1" x14ac:dyDescent="0.3">
      <c r="A499" s="175" t="s">
        <v>711</v>
      </c>
      <c r="B499" s="176">
        <v>45611</v>
      </c>
      <c r="C499" s="177" t="s">
        <v>26</v>
      </c>
      <c r="D499" s="175" t="s">
        <v>27</v>
      </c>
      <c r="E499" s="178" t="s">
        <v>28</v>
      </c>
      <c r="F499" s="178" t="s">
        <v>585</v>
      </c>
      <c r="G499" s="179" t="s">
        <v>243</v>
      </c>
      <c r="H499" s="179">
        <v>27422057906</v>
      </c>
      <c r="I499" s="179" t="s">
        <v>910</v>
      </c>
      <c r="J499" s="175" t="s">
        <v>381</v>
      </c>
      <c r="K499" s="180">
        <v>1</v>
      </c>
      <c r="L499" s="181">
        <v>90000</v>
      </c>
      <c r="M499" s="181">
        <v>0</v>
      </c>
      <c r="N499" s="181">
        <v>0</v>
      </c>
      <c r="O499" s="181">
        <v>0</v>
      </c>
      <c r="P499" s="181">
        <v>0</v>
      </c>
      <c r="Q499" s="181">
        <v>0</v>
      </c>
      <c r="R499" s="181">
        <v>0</v>
      </c>
      <c r="S499" s="181">
        <v>0</v>
      </c>
      <c r="T499" s="181">
        <v>0</v>
      </c>
      <c r="U499" s="181">
        <f>+SUM(Tabla1[[#This Row],[IVA 21%]:[IVA 27%]])</f>
        <v>0</v>
      </c>
      <c r="V499" s="10">
        <f>+SUM(Tabla1[[#This Row],[Neto]:[Impuestos Internos / Otros Tributos]])</f>
        <v>90000</v>
      </c>
      <c r="W499" s="39">
        <f>+Tabla1[[#This Row],[Total]]</f>
        <v>90000</v>
      </c>
      <c r="X499" s="181">
        <v>0</v>
      </c>
      <c r="Y499" s="182" t="s">
        <v>324</v>
      </c>
      <c r="Z499" s="182"/>
      <c r="AA499" s="183">
        <v>45611</v>
      </c>
      <c r="AB499" s="184">
        <f>+Tabla1[[#This Row],[Total a Pagar]]</f>
        <v>90000</v>
      </c>
      <c r="AC499" s="179"/>
      <c r="AD499" s="179"/>
      <c r="AE499" s="179"/>
      <c r="AF499" s="179"/>
      <c r="AG499" s="179"/>
      <c r="AH499" s="181">
        <v>0</v>
      </c>
      <c r="AI499" s="179"/>
      <c r="AJ499" s="188"/>
    </row>
    <row r="500" spans="1:36" hidden="1" x14ac:dyDescent="0.3">
      <c r="A500" s="8" t="s">
        <v>711</v>
      </c>
      <c r="B500" s="176">
        <v>45611</v>
      </c>
      <c r="C500" s="177" t="s">
        <v>402</v>
      </c>
      <c r="D500" s="175" t="s">
        <v>27</v>
      </c>
      <c r="E500" s="178" t="s">
        <v>28</v>
      </c>
      <c r="F500" s="178" t="s">
        <v>911</v>
      </c>
      <c r="G500" s="179" t="s">
        <v>226</v>
      </c>
      <c r="H500" s="179">
        <v>27410953345</v>
      </c>
      <c r="I500" s="179" t="s">
        <v>912</v>
      </c>
      <c r="J500" s="175" t="s">
        <v>381</v>
      </c>
      <c r="K500" s="180">
        <v>1</v>
      </c>
      <c r="L500" s="181">
        <v>86400</v>
      </c>
      <c r="M500" s="181">
        <v>0</v>
      </c>
      <c r="N500" s="181">
        <v>0</v>
      </c>
      <c r="O500" s="181">
        <v>0</v>
      </c>
      <c r="P500" s="181">
        <v>0</v>
      </c>
      <c r="Q500" s="181"/>
      <c r="R500" s="181">
        <v>0</v>
      </c>
      <c r="S500" s="181">
        <v>0</v>
      </c>
      <c r="T500" s="181">
        <v>0</v>
      </c>
      <c r="U500" s="181">
        <f>+SUM(Tabla1[[#This Row],[IVA 21%]:[IVA 27%]])</f>
        <v>0</v>
      </c>
      <c r="V500" s="10">
        <f>+SUM(Tabla1[[#This Row],[Neto]:[Impuestos Internos / Otros Tributos]])</f>
        <v>86400</v>
      </c>
      <c r="W500" s="64">
        <f>+Tabla1[[#This Row],[Total]]</f>
        <v>86400</v>
      </c>
      <c r="X500" s="181">
        <v>0</v>
      </c>
      <c r="Y500" s="49" t="s">
        <v>324</v>
      </c>
      <c r="AA500" s="183">
        <v>45615</v>
      </c>
      <c r="AB500" s="184">
        <f>+Tabla1[[#This Row],[Total a Pagar]]</f>
        <v>86400</v>
      </c>
      <c r="AC500" s="179"/>
      <c r="AD500" s="179"/>
      <c r="AE500" s="179"/>
      <c r="AF500" s="179"/>
      <c r="AG500" s="179"/>
      <c r="AH500" s="181">
        <v>0</v>
      </c>
      <c r="AI500" s="179"/>
      <c r="AJ500" s="188"/>
    </row>
    <row r="501" spans="1:36" hidden="1" x14ac:dyDescent="0.3">
      <c r="A501" s="8" t="s">
        <v>711</v>
      </c>
      <c r="B501" s="176">
        <v>45611</v>
      </c>
      <c r="C501" s="177" t="s">
        <v>402</v>
      </c>
      <c r="D501" s="175" t="s">
        <v>27</v>
      </c>
      <c r="E501" s="178" t="s">
        <v>28</v>
      </c>
      <c r="F501" s="178" t="s">
        <v>913</v>
      </c>
      <c r="G501" s="179" t="s">
        <v>226</v>
      </c>
      <c r="H501" s="179">
        <v>27410953345</v>
      </c>
      <c r="I501" s="179" t="s">
        <v>912</v>
      </c>
      <c r="J501" s="175" t="s">
        <v>381</v>
      </c>
      <c r="K501" s="180">
        <v>1</v>
      </c>
      <c r="L501" s="181">
        <v>86400</v>
      </c>
      <c r="M501" s="181">
        <v>0</v>
      </c>
      <c r="N501" s="181">
        <v>0</v>
      </c>
      <c r="O501" s="181">
        <v>0</v>
      </c>
      <c r="P501" s="181">
        <v>0</v>
      </c>
      <c r="Q501" s="181">
        <v>0</v>
      </c>
      <c r="R501" s="181">
        <v>0</v>
      </c>
      <c r="S501" s="181">
        <v>0</v>
      </c>
      <c r="T501" s="181">
        <v>0</v>
      </c>
      <c r="U501" s="181">
        <f>+SUM(Tabla1[[#This Row],[IVA 21%]:[IVA 27%]])</f>
        <v>0</v>
      </c>
      <c r="V501" s="10">
        <f>+SUM(Tabla1[[#This Row],[Neto]:[Impuestos Internos / Otros Tributos]])</f>
        <v>86400</v>
      </c>
      <c r="W501" s="64">
        <f>+Tabla1[[#This Row],[Total]]</f>
        <v>86400</v>
      </c>
      <c r="X501" s="181">
        <v>0</v>
      </c>
      <c r="Y501" s="49" t="s">
        <v>324</v>
      </c>
      <c r="AA501" s="183">
        <v>45615</v>
      </c>
      <c r="AB501" s="184">
        <f>+Tabla1[[#This Row],[Total a Pagar]]</f>
        <v>86400</v>
      </c>
      <c r="AC501" s="179"/>
      <c r="AD501" s="179"/>
      <c r="AE501" s="179"/>
      <c r="AF501" s="179"/>
      <c r="AG501" s="179"/>
      <c r="AH501" s="181">
        <v>0</v>
      </c>
      <c r="AI501" s="179"/>
      <c r="AJ501" s="188"/>
    </row>
    <row r="502" spans="1:36" hidden="1" x14ac:dyDescent="0.3">
      <c r="A502" s="175" t="s">
        <v>711</v>
      </c>
      <c r="B502" s="176">
        <v>45611</v>
      </c>
      <c r="C502" s="177" t="s">
        <v>26</v>
      </c>
      <c r="D502" s="175" t="s">
        <v>27</v>
      </c>
      <c r="E502" s="178" t="s">
        <v>32</v>
      </c>
      <c r="F502" s="178" t="s">
        <v>915</v>
      </c>
      <c r="G502" s="179" t="s">
        <v>46</v>
      </c>
      <c r="H502" s="179">
        <v>27386520599</v>
      </c>
      <c r="I502" s="179" t="s">
        <v>895</v>
      </c>
      <c r="J502" s="175" t="s">
        <v>381</v>
      </c>
      <c r="K502" s="180">
        <v>1</v>
      </c>
      <c r="L502" s="181">
        <v>489600</v>
      </c>
      <c r="M502" s="181">
        <v>0</v>
      </c>
      <c r="N502" s="181">
        <v>0</v>
      </c>
      <c r="O502" s="181">
        <v>0</v>
      </c>
      <c r="P502" s="181">
        <v>0</v>
      </c>
      <c r="Q502" s="181">
        <v>0</v>
      </c>
      <c r="R502" s="181">
        <v>0</v>
      </c>
      <c r="S502" s="181">
        <v>0</v>
      </c>
      <c r="T502" s="181">
        <v>0</v>
      </c>
      <c r="U502" s="181">
        <f>+SUM(Tabla1[[#This Row],[IVA 21%]:[IVA 27%]])</f>
        <v>0</v>
      </c>
      <c r="V502" s="10">
        <f>+SUM(Tabla1[[#This Row],[Neto]:[Impuestos Internos / Otros Tributos]])</f>
        <v>489600</v>
      </c>
      <c r="W502" s="72">
        <f>+Tabla1[[#This Row],[Total]]</f>
        <v>489600</v>
      </c>
      <c r="X502" s="181">
        <v>0</v>
      </c>
      <c r="Y502" s="49" t="s">
        <v>324</v>
      </c>
      <c r="AA502" s="183">
        <v>45615</v>
      </c>
      <c r="AB502" s="184">
        <f>+Tabla1[[#This Row],[Total a Pagar]]</f>
        <v>489600</v>
      </c>
      <c r="AC502" s="179"/>
      <c r="AD502" s="179"/>
      <c r="AE502" s="179"/>
      <c r="AF502" s="179"/>
      <c r="AG502" s="179"/>
      <c r="AH502" s="181">
        <v>0</v>
      </c>
      <c r="AI502" s="179"/>
      <c r="AJ502" s="188"/>
    </row>
    <row r="503" spans="1:36" hidden="1" x14ac:dyDescent="0.3">
      <c r="A503" s="175" t="s">
        <v>711</v>
      </c>
      <c r="B503" s="176">
        <v>45611</v>
      </c>
      <c r="C503" s="177" t="s">
        <v>26</v>
      </c>
      <c r="D503" s="175" t="s">
        <v>27</v>
      </c>
      <c r="E503" s="178" t="s">
        <v>37</v>
      </c>
      <c r="F503" s="178" t="s">
        <v>915</v>
      </c>
      <c r="G503" s="179" t="s">
        <v>39</v>
      </c>
      <c r="H503" s="179">
        <v>27335929271</v>
      </c>
      <c r="I503" s="179" t="s">
        <v>895</v>
      </c>
      <c r="J503" s="175" t="s">
        <v>381</v>
      </c>
      <c r="K503" s="180">
        <v>1</v>
      </c>
      <c r="L503" s="181">
        <v>475200</v>
      </c>
      <c r="M503" s="181">
        <v>0</v>
      </c>
      <c r="N503" s="181">
        <v>0</v>
      </c>
      <c r="O503" s="181">
        <v>0</v>
      </c>
      <c r="P503" s="181">
        <v>0</v>
      </c>
      <c r="Q503" s="181">
        <v>0</v>
      </c>
      <c r="R503" s="181">
        <v>0</v>
      </c>
      <c r="S503" s="181">
        <v>0</v>
      </c>
      <c r="T503" s="181">
        <v>0</v>
      </c>
      <c r="U503" s="181">
        <f>+SUM(Tabla1[[#This Row],[IVA 21%]:[IVA 27%]])</f>
        <v>0</v>
      </c>
      <c r="V503" s="10">
        <f>+SUM(Tabla1[[#This Row],[Neto]:[Impuestos Internos / Otros Tributos]])</f>
        <v>475200</v>
      </c>
      <c r="W503" s="72">
        <f>+Tabla1[[#This Row],[Total]]</f>
        <v>475200</v>
      </c>
      <c r="X503" s="181">
        <v>0</v>
      </c>
      <c r="Y503" s="49" t="s">
        <v>324</v>
      </c>
      <c r="AA503" s="183">
        <v>45616</v>
      </c>
      <c r="AB503" s="181">
        <v>475200</v>
      </c>
      <c r="AC503" s="179"/>
      <c r="AD503" s="179"/>
      <c r="AE503" s="179"/>
      <c r="AF503" s="179"/>
      <c r="AG503" s="179"/>
      <c r="AH503" s="181"/>
      <c r="AI503" s="179"/>
      <c r="AJ503" s="188"/>
    </row>
    <row r="504" spans="1:36" x14ac:dyDescent="0.3">
      <c r="A504" s="102" t="s">
        <v>711</v>
      </c>
      <c r="B504" s="176">
        <v>45612</v>
      </c>
      <c r="C504" s="118" t="s">
        <v>26</v>
      </c>
      <c r="D504" s="102" t="s">
        <v>58</v>
      </c>
      <c r="E504" s="121" t="s">
        <v>32</v>
      </c>
      <c r="F504" s="9" t="s">
        <v>916</v>
      </c>
      <c r="G504" s="104" t="s">
        <v>146</v>
      </c>
      <c r="H504" s="104">
        <v>33716385359</v>
      </c>
      <c r="I504" s="104" t="s">
        <v>142</v>
      </c>
      <c r="J504" s="102" t="s">
        <v>381</v>
      </c>
      <c r="K504" s="180">
        <v>1</v>
      </c>
      <c r="L504" s="181">
        <v>100800</v>
      </c>
      <c r="M504" s="181">
        <f>+Tabla1[[#This Row],[Neto]]*21%</f>
        <v>21168</v>
      </c>
      <c r="N504" s="181">
        <v>0</v>
      </c>
      <c r="O504" s="181">
        <v>0</v>
      </c>
      <c r="P504" s="181">
        <v>0</v>
      </c>
      <c r="Q504" s="181">
        <v>0</v>
      </c>
      <c r="R504" s="181">
        <v>0</v>
      </c>
      <c r="S504" s="181">
        <f>+Tabla1[[#This Row],[Neto]]*3.6%</f>
        <v>3628.8000000000006</v>
      </c>
      <c r="T504" s="181">
        <v>0</v>
      </c>
      <c r="U504" s="181">
        <f>+SUM(Tabla1[[#This Row],[IVA 21%]:[IVA 27%]])</f>
        <v>21168</v>
      </c>
      <c r="V504" s="10">
        <f>+SUM(Tabla1[[#This Row],[Neto]:[Impuestos Internos / Otros Tributos]])</f>
        <v>125596.8</v>
      </c>
      <c r="W504" s="10">
        <f>+Tabla1[[#This Row],[Total]]</f>
        <v>125596.8</v>
      </c>
      <c r="X504" s="181"/>
      <c r="Y504" s="49" t="s">
        <v>324</v>
      </c>
      <c r="Z504" s="182"/>
      <c r="AA504" s="117">
        <v>45635</v>
      </c>
      <c r="AB504" s="181"/>
      <c r="AC504" s="179"/>
      <c r="AD504" s="179"/>
      <c r="AE504" s="179"/>
      <c r="AF504" s="179"/>
      <c r="AG504" s="179"/>
      <c r="AH504" s="181"/>
      <c r="AI504" s="179"/>
      <c r="AJ504" s="4" t="s">
        <v>983</v>
      </c>
    </row>
    <row r="505" spans="1:36" hidden="1" x14ac:dyDescent="0.3">
      <c r="A505" s="8" t="s">
        <v>711</v>
      </c>
      <c r="B505" s="53">
        <v>45615</v>
      </c>
      <c r="C505" s="69" t="s">
        <v>26</v>
      </c>
      <c r="D505" s="67" t="s">
        <v>27</v>
      </c>
      <c r="E505" s="70" t="s">
        <v>28</v>
      </c>
      <c r="F505" s="9" t="s">
        <v>886</v>
      </c>
      <c r="G505" s="71" t="s">
        <v>224</v>
      </c>
      <c r="H505" s="71">
        <v>27376021829</v>
      </c>
      <c r="I505" s="4" t="s">
        <v>917</v>
      </c>
      <c r="J505" s="67" t="s">
        <v>381</v>
      </c>
      <c r="K505" s="173">
        <v>1</v>
      </c>
      <c r="L505" s="10">
        <v>335428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f>+SUM(Tabla1[[#This Row],[IVA 21%]:[IVA 27%]])</f>
        <v>0</v>
      </c>
      <c r="V505" s="10">
        <f>+SUM(Tabla1[[#This Row],[Neto]:[Impuestos Internos / Otros Tributos]])</f>
        <v>335428</v>
      </c>
      <c r="W505" s="10">
        <f>+Tabla1[[#This Row],[Total]]</f>
        <v>335428</v>
      </c>
      <c r="X505" s="10">
        <v>0</v>
      </c>
      <c r="Y505" s="49" t="s">
        <v>324</v>
      </c>
      <c r="AA505" s="109">
        <v>45615</v>
      </c>
      <c r="AB505" s="32">
        <f>+Tabla1[[#This Row],[Total a Pagar]]</f>
        <v>335428</v>
      </c>
      <c r="AH505" s="10">
        <v>0</v>
      </c>
      <c r="AJ505" s="188"/>
    </row>
    <row r="506" spans="1:36" hidden="1" x14ac:dyDescent="0.3">
      <c r="A506" s="8" t="s">
        <v>711</v>
      </c>
      <c r="B506" s="53">
        <v>45615</v>
      </c>
      <c r="C506" s="37" t="s">
        <v>26</v>
      </c>
      <c r="D506" s="36" t="s">
        <v>27</v>
      </c>
      <c r="E506" s="45" t="s">
        <v>32</v>
      </c>
      <c r="F506" s="9" t="s">
        <v>172</v>
      </c>
      <c r="G506" s="38" t="s">
        <v>254</v>
      </c>
      <c r="H506" s="38">
        <v>27414867486</v>
      </c>
      <c r="I506" s="4" t="s">
        <v>884</v>
      </c>
      <c r="J506" s="36" t="s">
        <v>381</v>
      </c>
      <c r="K506" s="173">
        <v>1</v>
      </c>
      <c r="L506" s="10">
        <v>864000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f>+SUM(Tabla1[[#This Row],[IVA 21%]:[IVA 27%]])</f>
        <v>0</v>
      </c>
      <c r="V506" s="10">
        <f>+SUM(Tabla1[[#This Row],[Neto]:[Impuestos Internos / Otros Tributos]])</f>
        <v>864000</v>
      </c>
      <c r="W506" s="39">
        <f>+Tabla1[[#This Row],[Total]]</f>
        <v>864000</v>
      </c>
      <c r="X506" s="10">
        <v>0</v>
      </c>
      <c r="Y506" s="49" t="s">
        <v>324</v>
      </c>
      <c r="AA506" s="109">
        <v>45615</v>
      </c>
      <c r="AB506" s="32">
        <f>+Tabla1[[#This Row],[Total a Pagar]]</f>
        <v>864000</v>
      </c>
      <c r="AH506" s="10">
        <v>0</v>
      </c>
      <c r="AJ506" s="188"/>
    </row>
    <row r="507" spans="1:36" hidden="1" x14ac:dyDescent="0.3">
      <c r="A507" s="8" t="s">
        <v>711</v>
      </c>
      <c r="B507" s="53">
        <v>45615</v>
      </c>
      <c r="C507" s="12" t="s">
        <v>26</v>
      </c>
      <c r="D507" s="8" t="s">
        <v>27</v>
      </c>
      <c r="E507" s="9" t="s">
        <v>37</v>
      </c>
      <c r="F507" s="9" t="s">
        <v>921</v>
      </c>
      <c r="G507" s="4" t="s">
        <v>39</v>
      </c>
      <c r="H507" s="4">
        <v>27335929271</v>
      </c>
      <c r="I507" s="4" t="s">
        <v>922</v>
      </c>
      <c r="J507" s="8" t="s">
        <v>381</v>
      </c>
      <c r="K507" s="173">
        <v>1</v>
      </c>
      <c r="L507" s="10">
        <v>180000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f>+SUM(Tabla1[[#This Row],[IVA 21%]:[IVA 27%]])</f>
        <v>0</v>
      </c>
      <c r="V507" s="10">
        <f>+SUM(Tabla1[[#This Row],[Neto]:[Impuestos Internos / Otros Tributos]])</f>
        <v>180000</v>
      </c>
      <c r="W507" s="72">
        <f>+Tabla1[[#This Row],[Total]]</f>
        <v>180000</v>
      </c>
      <c r="X507" s="10">
        <v>0</v>
      </c>
      <c r="Y507" s="49" t="s">
        <v>324</v>
      </c>
      <c r="AA507" s="109">
        <v>45616</v>
      </c>
      <c r="AB507" s="10">
        <v>180000</v>
      </c>
      <c r="AJ507" s="188"/>
    </row>
    <row r="508" spans="1:36" hidden="1" x14ac:dyDescent="0.3">
      <c r="A508" s="8" t="s">
        <v>711</v>
      </c>
      <c r="B508" s="53">
        <v>45615</v>
      </c>
      <c r="C508" s="12" t="s">
        <v>26</v>
      </c>
      <c r="D508" s="8" t="s">
        <v>27</v>
      </c>
      <c r="E508" s="9" t="s">
        <v>37</v>
      </c>
      <c r="F508" s="9" t="s">
        <v>924</v>
      </c>
      <c r="G508" s="4" t="s">
        <v>230</v>
      </c>
      <c r="H508" s="4">
        <v>27432189045</v>
      </c>
      <c r="I508" s="4" t="s">
        <v>923</v>
      </c>
      <c r="J508" s="8" t="s">
        <v>381</v>
      </c>
      <c r="K508" s="173">
        <v>1</v>
      </c>
      <c r="L508" s="10">
        <v>340000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f>+SUM(Tabla1[[#This Row],[IVA 21%]:[IVA 27%]])</f>
        <v>0</v>
      </c>
      <c r="V508" s="10">
        <f>+SUM(Tabla1[[#This Row],[Neto]:[Impuestos Internos / Otros Tributos]])</f>
        <v>340000</v>
      </c>
      <c r="W508" s="72">
        <f>+Tabla1[[#This Row],[Total]]</f>
        <v>340000</v>
      </c>
      <c r="X508" s="10">
        <v>0</v>
      </c>
      <c r="Y508" s="49" t="s">
        <v>325</v>
      </c>
      <c r="AA508" s="109"/>
      <c r="AJ508" s="188"/>
    </row>
    <row r="509" spans="1:36" hidden="1" x14ac:dyDescent="0.3">
      <c r="A509" s="8" t="s">
        <v>711</v>
      </c>
      <c r="B509" s="53">
        <v>45615</v>
      </c>
      <c r="C509" s="12" t="s">
        <v>26</v>
      </c>
      <c r="D509" s="8" t="s">
        <v>27</v>
      </c>
      <c r="E509" s="9" t="s">
        <v>28</v>
      </c>
      <c r="F509" s="9" t="s">
        <v>577</v>
      </c>
      <c r="G509" s="4" t="s">
        <v>218</v>
      </c>
      <c r="H509" s="4">
        <v>23375110199</v>
      </c>
      <c r="I509" s="4" t="s">
        <v>925</v>
      </c>
      <c r="J509" s="8" t="s">
        <v>381</v>
      </c>
      <c r="K509" s="173">
        <v>1</v>
      </c>
      <c r="L509" s="10">
        <v>260000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f>+SUM(Tabla1[[#This Row],[IVA 21%]:[IVA 27%]])</f>
        <v>0</v>
      </c>
      <c r="V509" s="10">
        <f>+SUM(Tabla1[[#This Row],[Neto]:[Impuestos Internos / Otros Tributos]])</f>
        <v>260000</v>
      </c>
      <c r="W509" s="72">
        <f>+Tabla1[[#This Row],[Total]]</f>
        <v>260000</v>
      </c>
      <c r="X509" s="10">
        <v>0</v>
      </c>
      <c r="Y509" s="49" t="s">
        <v>325</v>
      </c>
      <c r="AA509" s="109"/>
      <c r="AJ509" s="188"/>
    </row>
    <row r="510" spans="1:36" hidden="1" x14ac:dyDescent="0.3">
      <c r="A510" s="195" t="s">
        <v>711</v>
      </c>
      <c r="B510" s="196">
        <v>45609</v>
      </c>
      <c r="C510" s="197" t="s">
        <v>26</v>
      </c>
      <c r="D510" s="193" t="s">
        <v>58</v>
      </c>
      <c r="E510" s="199" t="s">
        <v>74</v>
      </c>
      <c r="F510" s="199" t="s">
        <v>930</v>
      </c>
      <c r="G510" s="198" t="s">
        <v>843</v>
      </c>
      <c r="H510" s="198">
        <v>33714950709</v>
      </c>
      <c r="I510" s="198" t="s">
        <v>931</v>
      </c>
      <c r="J510" s="193" t="s">
        <v>381</v>
      </c>
      <c r="K510" s="194">
        <v>1</v>
      </c>
      <c r="L510" s="10">
        <v>148000</v>
      </c>
      <c r="M510" s="10">
        <v>31080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f>+SUM(Tabla1[[#This Row],[IVA 21%]:[IVA 27%]])</f>
        <v>31080</v>
      </c>
      <c r="V510" s="10">
        <f>+SUM(Tabla1[[#This Row],[Neto]:[Impuestos Internos / Otros Tributos]])</f>
        <v>179080</v>
      </c>
      <c r="W510" s="72">
        <f>+Tabla1[[#This Row],[Total]]</f>
        <v>179080</v>
      </c>
      <c r="X510" s="10">
        <v>0</v>
      </c>
      <c r="Y510" s="49" t="s">
        <v>325</v>
      </c>
      <c r="AA510" s="192"/>
      <c r="AB510" s="190"/>
      <c r="AC510" s="188"/>
      <c r="AD510" s="188"/>
      <c r="AE510" s="188"/>
      <c r="AF510" s="188"/>
      <c r="AG510" s="188"/>
      <c r="AH510" s="190"/>
      <c r="AI510" s="188"/>
      <c r="AJ510" s="188"/>
    </row>
    <row r="511" spans="1:36" hidden="1" x14ac:dyDescent="0.3">
      <c r="A511" s="207" t="s">
        <v>711</v>
      </c>
      <c r="B511" s="208">
        <v>45615</v>
      </c>
      <c r="C511" s="209" t="s">
        <v>26</v>
      </c>
      <c r="D511" s="210" t="s">
        <v>58</v>
      </c>
      <c r="E511" s="211" t="s">
        <v>74</v>
      </c>
      <c r="F511" s="211" t="s">
        <v>932</v>
      </c>
      <c r="G511" s="212" t="s">
        <v>843</v>
      </c>
      <c r="H511" s="212">
        <v>33714950709</v>
      </c>
      <c r="I511" s="212" t="s">
        <v>931</v>
      </c>
      <c r="J511" s="210" t="s">
        <v>381</v>
      </c>
      <c r="K511" s="213">
        <v>1</v>
      </c>
      <c r="L511" s="190">
        <v>81600</v>
      </c>
      <c r="M511" s="190">
        <v>17136</v>
      </c>
      <c r="N511" s="190">
        <v>0</v>
      </c>
      <c r="O511" s="190">
        <v>0</v>
      </c>
      <c r="P511" s="190">
        <v>0</v>
      </c>
      <c r="Q511" s="190">
        <v>0</v>
      </c>
      <c r="R511" s="190">
        <v>0</v>
      </c>
      <c r="S511" s="190">
        <v>0</v>
      </c>
      <c r="T511" s="190">
        <v>0</v>
      </c>
      <c r="U511" s="190">
        <f>+SUM(Tabla1[[#This Row],[IVA 21%]:[IVA 27%]])</f>
        <v>17136</v>
      </c>
      <c r="V511" s="190">
        <f>+SUM(Tabla1[[#This Row],[Neto]:[Impuestos Internos / Otros Tributos]])</f>
        <v>98736</v>
      </c>
      <c r="W511" s="190">
        <f>+Tabla1[[#This Row],[Total]]</f>
        <v>98736</v>
      </c>
      <c r="X511" s="190">
        <v>0</v>
      </c>
      <c r="Y511" s="191" t="s">
        <v>325</v>
      </c>
      <c r="Z511" s="191"/>
      <c r="AA511" s="192"/>
      <c r="AB511" s="190"/>
      <c r="AC511" s="188"/>
      <c r="AD511" s="188"/>
      <c r="AE511" s="188"/>
      <c r="AF511" s="188"/>
      <c r="AG511" s="188"/>
      <c r="AH511" s="190"/>
      <c r="AI511" s="188"/>
      <c r="AJ511" s="188"/>
    </row>
    <row r="512" spans="1:36" hidden="1" x14ac:dyDescent="0.3">
      <c r="A512" s="200" t="s">
        <v>711</v>
      </c>
      <c r="B512" s="201">
        <v>45600</v>
      </c>
      <c r="C512" s="202" t="s">
        <v>26</v>
      </c>
      <c r="D512" s="203" t="s">
        <v>58</v>
      </c>
      <c r="E512" s="204" t="s">
        <v>74</v>
      </c>
      <c r="F512" s="204" t="s">
        <v>842</v>
      </c>
      <c r="G512" s="205" t="s">
        <v>843</v>
      </c>
      <c r="H512" s="205">
        <v>33714950709</v>
      </c>
      <c r="I512" s="205" t="s">
        <v>931</v>
      </c>
      <c r="J512" s="203" t="s">
        <v>381</v>
      </c>
      <c r="K512" s="206">
        <v>1</v>
      </c>
      <c r="L512" s="190">
        <v>37190.25</v>
      </c>
      <c r="M512" s="190">
        <v>7809.95</v>
      </c>
      <c r="N512" s="190">
        <v>0</v>
      </c>
      <c r="O512" s="190">
        <v>0</v>
      </c>
      <c r="P512" s="190">
        <v>0</v>
      </c>
      <c r="Q512" s="190">
        <v>0</v>
      </c>
      <c r="R512" s="190">
        <v>0</v>
      </c>
      <c r="S512" s="190">
        <v>0</v>
      </c>
      <c r="T512" s="190">
        <v>0</v>
      </c>
      <c r="U512" s="190">
        <f>+SUM(Tabla1[[#This Row],[IVA 21%]:[IVA 27%]])</f>
        <v>7809.95</v>
      </c>
      <c r="V512" s="190">
        <f>+SUM(Tabla1[[#This Row],[Neto]:[Impuestos Internos / Otros Tributos]])</f>
        <v>45000.2</v>
      </c>
      <c r="W512" s="190">
        <f>+Tabla1[[#This Row],[Total]]</f>
        <v>45000.2</v>
      </c>
      <c r="X512" s="190">
        <v>0</v>
      </c>
      <c r="Y512" s="191" t="s">
        <v>325</v>
      </c>
      <c r="Z512" s="191"/>
      <c r="AA512" s="192"/>
      <c r="AB512" s="190"/>
      <c r="AC512" s="188"/>
      <c r="AD512" s="188"/>
      <c r="AE512" s="188"/>
      <c r="AF512" s="188"/>
      <c r="AG512" s="188"/>
      <c r="AH512" s="190"/>
      <c r="AI512" s="188"/>
      <c r="AJ512" s="188"/>
    </row>
    <row r="513" spans="1:36" hidden="1" x14ac:dyDescent="0.3">
      <c r="A513" s="207" t="s">
        <v>711</v>
      </c>
      <c r="B513" s="208">
        <v>45609</v>
      </c>
      <c r="C513" s="209" t="s">
        <v>26</v>
      </c>
      <c r="D513" s="210" t="s">
        <v>58</v>
      </c>
      <c r="E513" s="211" t="s">
        <v>74</v>
      </c>
      <c r="F513" s="211" t="s">
        <v>933</v>
      </c>
      <c r="G513" s="212" t="s">
        <v>843</v>
      </c>
      <c r="H513" s="212">
        <v>33714950709</v>
      </c>
      <c r="I513" s="212" t="s">
        <v>931</v>
      </c>
      <c r="J513" s="210" t="s">
        <v>381</v>
      </c>
      <c r="K513" s="213">
        <v>1</v>
      </c>
      <c r="L513" s="190">
        <v>292137.09999999998</v>
      </c>
      <c r="M513" s="190">
        <v>61348.79</v>
      </c>
      <c r="N513" s="190">
        <v>0</v>
      </c>
      <c r="O513" s="190">
        <v>0</v>
      </c>
      <c r="P513" s="190">
        <v>0</v>
      </c>
      <c r="Q513" s="190">
        <v>974706.64</v>
      </c>
      <c r="R513" s="190">
        <v>0</v>
      </c>
      <c r="S513" s="190">
        <v>0</v>
      </c>
      <c r="T513" s="190">
        <v>0</v>
      </c>
      <c r="U513" s="190">
        <f>+SUM(Tabla1[[#This Row],[IVA 21%]:[IVA 27%]])</f>
        <v>61348.79</v>
      </c>
      <c r="V513" s="190">
        <f>+SUM(Tabla1[[#This Row],[Neto]:[Impuestos Internos / Otros Tributos]])</f>
        <v>1328192.53</v>
      </c>
      <c r="W513" s="190">
        <f>+Tabla1[[#This Row],[Total]]</f>
        <v>1328192.53</v>
      </c>
      <c r="X513" s="190">
        <v>0</v>
      </c>
      <c r="Y513" s="191" t="s">
        <v>325</v>
      </c>
      <c r="Z513" s="191"/>
      <c r="AA513" s="192"/>
      <c r="AB513" s="190"/>
      <c r="AC513" s="188"/>
      <c r="AD513" s="188"/>
      <c r="AE513" s="188"/>
      <c r="AF513" s="188"/>
      <c r="AG513" s="188"/>
      <c r="AH513" s="190"/>
      <c r="AI513" s="188"/>
      <c r="AJ513" s="188"/>
    </row>
    <row r="514" spans="1:36" hidden="1" x14ac:dyDescent="0.3">
      <c r="A514" s="200" t="s">
        <v>711</v>
      </c>
      <c r="B514" s="201">
        <v>45609</v>
      </c>
      <c r="C514" s="202" t="s">
        <v>26</v>
      </c>
      <c r="D514" s="203" t="s">
        <v>58</v>
      </c>
      <c r="E514" s="204" t="s">
        <v>74</v>
      </c>
      <c r="F514" s="204" t="s">
        <v>934</v>
      </c>
      <c r="G514" s="205" t="s">
        <v>843</v>
      </c>
      <c r="H514" s="205">
        <v>33714950709</v>
      </c>
      <c r="I514" s="205" t="s">
        <v>931</v>
      </c>
      <c r="J514" s="203" t="s">
        <v>381</v>
      </c>
      <c r="K514" s="206">
        <v>1</v>
      </c>
      <c r="L514" s="190">
        <v>0</v>
      </c>
      <c r="M514" s="190">
        <v>0</v>
      </c>
      <c r="N514" s="190">
        <v>0</v>
      </c>
      <c r="O514" s="190">
        <v>0</v>
      </c>
      <c r="P514" s="190">
        <v>0</v>
      </c>
      <c r="Q514" s="190">
        <v>90500</v>
      </c>
      <c r="R514" s="190">
        <v>0</v>
      </c>
      <c r="S514" s="190">
        <v>0</v>
      </c>
      <c r="T514" s="190">
        <v>0</v>
      </c>
      <c r="U514" s="190">
        <f>+SUM(Tabla1[[#This Row],[IVA 21%]:[IVA 27%]])</f>
        <v>0</v>
      </c>
      <c r="V514" s="190">
        <f>+SUM(Tabla1[[#This Row],[Neto]:[Impuestos Internos / Otros Tributos]])</f>
        <v>90500</v>
      </c>
      <c r="W514" s="190">
        <f>+Tabla1[[#This Row],[Total]]</f>
        <v>90500</v>
      </c>
      <c r="X514" s="190">
        <v>0</v>
      </c>
      <c r="Y514" s="191" t="s">
        <v>325</v>
      </c>
      <c r="Z514" s="191"/>
      <c r="AA514" s="192"/>
      <c r="AB514" s="190"/>
      <c r="AC514" s="188"/>
      <c r="AD514" s="188"/>
      <c r="AE514" s="188"/>
      <c r="AF514" s="188"/>
      <c r="AG514" s="188"/>
      <c r="AH514" s="190"/>
      <c r="AI514" s="188"/>
      <c r="AJ514" s="188"/>
    </row>
    <row r="515" spans="1:36" hidden="1" x14ac:dyDescent="0.3">
      <c r="A515" s="207" t="s">
        <v>711</v>
      </c>
      <c r="B515" s="208">
        <v>45609</v>
      </c>
      <c r="C515" s="209" t="s">
        <v>26</v>
      </c>
      <c r="D515" s="210" t="s">
        <v>58</v>
      </c>
      <c r="E515" s="211" t="s">
        <v>74</v>
      </c>
      <c r="F515" s="211" t="s">
        <v>930</v>
      </c>
      <c r="G515" s="212" t="s">
        <v>843</v>
      </c>
      <c r="H515" s="212">
        <v>33714950709</v>
      </c>
      <c r="I515" s="212" t="s">
        <v>931</v>
      </c>
      <c r="J515" s="210" t="s">
        <v>381</v>
      </c>
      <c r="K515" s="213">
        <v>1</v>
      </c>
      <c r="L515" s="190">
        <v>148000</v>
      </c>
      <c r="M515" s="190">
        <v>31080</v>
      </c>
      <c r="N515" s="190">
        <v>0</v>
      </c>
      <c r="O515" s="190">
        <v>0</v>
      </c>
      <c r="P515" s="190">
        <v>0</v>
      </c>
      <c r="Q515" s="190">
        <v>0</v>
      </c>
      <c r="R515" s="190">
        <v>0</v>
      </c>
      <c r="S515" s="190">
        <v>0</v>
      </c>
      <c r="T515" s="190">
        <v>0</v>
      </c>
      <c r="U515" s="190">
        <f>+SUM(Tabla1[[#This Row],[IVA 21%]:[IVA 27%]])</f>
        <v>31080</v>
      </c>
      <c r="V515" s="190">
        <f>+SUM(Tabla1[[#This Row],[Neto]:[Impuestos Internos / Otros Tributos]])</f>
        <v>179080</v>
      </c>
      <c r="W515" s="190">
        <f>+Tabla1[[#This Row],[Total]]</f>
        <v>179080</v>
      </c>
      <c r="X515" s="190">
        <v>0</v>
      </c>
      <c r="Y515" s="191" t="s">
        <v>325</v>
      </c>
      <c r="Z515" s="191"/>
      <c r="AA515" s="192"/>
      <c r="AB515" s="190"/>
      <c r="AC515" s="188"/>
      <c r="AD515" s="188"/>
      <c r="AE515" s="188"/>
      <c r="AF515" s="188"/>
      <c r="AG515" s="188"/>
      <c r="AH515" s="190"/>
      <c r="AI515" s="188"/>
      <c r="AJ515" s="188"/>
    </row>
    <row r="516" spans="1:36" hidden="1" x14ac:dyDescent="0.3">
      <c r="A516" s="200" t="s">
        <v>711</v>
      </c>
      <c r="B516" s="201">
        <v>45609</v>
      </c>
      <c r="C516" s="202" t="s">
        <v>26</v>
      </c>
      <c r="D516" s="203" t="s">
        <v>58</v>
      </c>
      <c r="E516" s="204" t="s">
        <v>74</v>
      </c>
      <c r="F516" s="204" t="s">
        <v>935</v>
      </c>
      <c r="G516" s="205" t="s">
        <v>843</v>
      </c>
      <c r="H516" s="205">
        <v>33714950709</v>
      </c>
      <c r="I516" s="205" t="s">
        <v>931</v>
      </c>
      <c r="J516" s="203" t="s">
        <v>381</v>
      </c>
      <c r="K516" s="206">
        <v>1</v>
      </c>
      <c r="L516" s="190">
        <v>207435.2</v>
      </c>
      <c r="M516" s="190">
        <v>43561.39</v>
      </c>
      <c r="N516" s="190">
        <v>0</v>
      </c>
      <c r="O516" s="190">
        <v>0</v>
      </c>
      <c r="P516" s="190">
        <v>0</v>
      </c>
      <c r="Q516" s="190">
        <v>286000</v>
      </c>
      <c r="R516" s="190">
        <v>0</v>
      </c>
      <c r="S516" s="190">
        <v>0</v>
      </c>
      <c r="T516" s="190">
        <v>0</v>
      </c>
      <c r="U516" s="190">
        <f>+SUM(Tabla1[[#This Row],[IVA 21%]:[IVA 27%]])</f>
        <v>43561.39</v>
      </c>
      <c r="V516" s="190">
        <f>+SUM(Tabla1[[#This Row],[Neto]:[Impuestos Internos / Otros Tributos]])</f>
        <v>536996.59000000008</v>
      </c>
      <c r="W516" s="190">
        <f>+Tabla1[[#This Row],[Total]]</f>
        <v>536996.59000000008</v>
      </c>
      <c r="X516" s="190">
        <v>0</v>
      </c>
      <c r="Y516" s="191" t="s">
        <v>325</v>
      </c>
      <c r="Z516" s="191"/>
      <c r="AA516" s="192"/>
      <c r="AB516" s="190"/>
      <c r="AC516" s="188"/>
      <c r="AD516" s="188"/>
      <c r="AE516" s="188"/>
      <c r="AF516" s="188"/>
      <c r="AG516" s="188"/>
      <c r="AH516" s="190"/>
      <c r="AI516" s="188"/>
      <c r="AJ516" s="188"/>
    </row>
    <row r="517" spans="1:36" hidden="1" x14ac:dyDescent="0.3">
      <c r="A517" s="207" t="s">
        <v>711</v>
      </c>
      <c r="B517" s="208">
        <v>45621</v>
      </c>
      <c r="C517" s="209" t="s">
        <v>26</v>
      </c>
      <c r="D517" s="210" t="s">
        <v>58</v>
      </c>
      <c r="E517" s="211" t="s">
        <v>74</v>
      </c>
      <c r="F517" s="211" t="s">
        <v>936</v>
      </c>
      <c r="G517" s="212" t="s">
        <v>937</v>
      </c>
      <c r="H517" s="212">
        <v>20134144131</v>
      </c>
      <c r="I517" s="212" t="s">
        <v>938</v>
      </c>
      <c r="J517" s="210" t="s">
        <v>381</v>
      </c>
      <c r="K517" s="213">
        <v>1</v>
      </c>
      <c r="L517" s="190">
        <v>11768.6</v>
      </c>
      <c r="M517" s="190">
        <v>2471.41</v>
      </c>
      <c r="N517" s="190">
        <v>0</v>
      </c>
      <c r="O517" s="190">
        <v>0</v>
      </c>
      <c r="P517" s="190">
        <v>0</v>
      </c>
      <c r="Q517" s="190">
        <v>0</v>
      </c>
      <c r="R517" s="190">
        <v>0</v>
      </c>
      <c r="S517" s="190">
        <v>0</v>
      </c>
      <c r="T517" s="190">
        <v>0</v>
      </c>
      <c r="U517" s="190">
        <f>+SUM(Tabla1[[#This Row],[IVA 21%]:[IVA 27%]])</f>
        <v>2471.41</v>
      </c>
      <c r="V517" s="190">
        <f>+SUM(Tabla1[[#This Row],[Neto]:[Impuestos Internos / Otros Tributos]])</f>
        <v>14240.01</v>
      </c>
      <c r="W517" s="190">
        <f>+Tabla1[[#This Row],[Total]]</f>
        <v>14240.01</v>
      </c>
      <c r="X517" s="190">
        <v>0</v>
      </c>
      <c r="Y517" s="191" t="s">
        <v>324</v>
      </c>
      <c r="Z517" s="191"/>
      <c r="AA517" s="192">
        <v>45621</v>
      </c>
      <c r="AB517" s="190"/>
      <c r="AC517" s="188"/>
      <c r="AD517" s="188"/>
      <c r="AE517" s="188"/>
      <c r="AF517" s="188"/>
      <c r="AG517" s="188"/>
      <c r="AH517" s="190">
        <v>14240</v>
      </c>
      <c r="AI517" s="188"/>
      <c r="AJ517" s="188"/>
    </row>
    <row r="518" spans="1:36" x14ac:dyDescent="0.3">
      <c r="A518" s="216" t="s">
        <v>711</v>
      </c>
      <c r="B518" s="217">
        <v>45601</v>
      </c>
      <c r="C518" s="218" t="s">
        <v>26</v>
      </c>
      <c r="D518" s="216" t="s">
        <v>58</v>
      </c>
      <c r="E518" s="219" t="s">
        <v>211</v>
      </c>
      <c r="F518" s="219" t="s">
        <v>182</v>
      </c>
      <c r="G518" s="220" t="s">
        <v>146</v>
      </c>
      <c r="H518" s="220">
        <v>33716385359</v>
      </c>
      <c r="I518" s="220" t="s">
        <v>142</v>
      </c>
      <c r="J518" s="216" t="s">
        <v>381</v>
      </c>
      <c r="K518" s="221">
        <v>1</v>
      </c>
      <c r="L518" s="222">
        <v>0</v>
      </c>
      <c r="M518" s="222">
        <f>+Tabla1[[#This Row],[Neto]]*21%</f>
        <v>0</v>
      </c>
      <c r="N518" s="222">
        <v>0</v>
      </c>
      <c r="O518" s="222">
        <v>0</v>
      </c>
      <c r="P518" s="222">
        <v>0</v>
      </c>
      <c r="Q518" s="222">
        <v>2514000</v>
      </c>
      <c r="R518" s="222">
        <v>0</v>
      </c>
      <c r="S518" s="222">
        <f>+Tabla1[[#This Row],[Neto]]*3.6%</f>
        <v>0</v>
      </c>
      <c r="T518" s="222">
        <v>0</v>
      </c>
      <c r="U518" s="222">
        <f>+SUM(Tabla1[[#This Row],[IVA 21%]:[IVA 27%]])</f>
        <v>0</v>
      </c>
      <c r="V518" s="222">
        <f>+SUM(Tabla1[[#This Row],[Neto]:[Impuestos Internos / Otros Tributos]])</f>
        <v>2514000</v>
      </c>
      <c r="W518" s="222">
        <f>+Tabla1[[#This Row],[Total]]</f>
        <v>2514000</v>
      </c>
      <c r="X518" s="222"/>
      <c r="Y518" s="249" t="s">
        <v>324</v>
      </c>
      <c r="Z518" s="223"/>
      <c r="AA518" s="117">
        <v>45635</v>
      </c>
      <c r="AB518" s="222"/>
      <c r="AC518" s="220"/>
      <c r="AD518" s="220"/>
      <c r="AE518" s="220"/>
      <c r="AF518" s="220"/>
      <c r="AG518" s="220"/>
      <c r="AH518" s="222"/>
      <c r="AI518" s="220"/>
      <c r="AJ518" s="4" t="s">
        <v>983</v>
      </c>
    </row>
    <row r="519" spans="1:36" x14ac:dyDescent="0.3">
      <c r="A519" s="186" t="s">
        <v>711</v>
      </c>
      <c r="B519" s="187">
        <v>45616</v>
      </c>
      <c r="C519" s="214" t="s">
        <v>26</v>
      </c>
      <c r="D519" s="186" t="s">
        <v>58</v>
      </c>
      <c r="E519" s="215" t="s">
        <v>211</v>
      </c>
      <c r="F519" s="215" t="s">
        <v>939</v>
      </c>
      <c r="G519" s="188" t="s">
        <v>146</v>
      </c>
      <c r="H519" s="188">
        <v>33716385359</v>
      </c>
      <c r="I519" s="188" t="s">
        <v>142</v>
      </c>
      <c r="J519" s="186" t="s">
        <v>381</v>
      </c>
      <c r="K519" s="189">
        <v>1</v>
      </c>
      <c r="L519" s="190">
        <v>0</v>
      </c>
      <c r="M519" s="190">
        <f>+Tabla1[[#This Row],[Neto]]*21%</f>
        <v>0</v>
      </c>
      <c r="N519" s="190">
        <v>0</v>
      </c>
      <c r="O519" s="190">
        <v>0</v>
      </c>
      <c r="P519" s="190">
        <v>0</v>
      </c>
      <c r="Q519" s="190">
        <v>262500</v>
      </c>
      <c r="R519" s="190">
        <v>0</v>
      </c>
      <c r="S519" s="190">
        <f>+Tabla1[[#This Row],[Neto]]*3.6%</f>
        <v>0</v>
      </c>
      <c r="T519" s="190">
        <v>0</v>
      </c>
      <c r="U519" s="190">
        <f>+SUM(Tabla1[[#This Row],[IVA 21%]:[IVA 27%]])</f>
        <v>0</v>
      </c>
      <c r="V519" s="190">
        <f>+SUM(Tabla1[[#This Row],[Neto]:[Impuestos Internos / Otros Tributos]])</f>
        <v>262500</v>
      </c>
      <c r="W519" s="190">
        <f>+Tabla1[[#This Row],[Total]]</f>
        <v>262500</v>
      </c>
      <c r="X519" s="190">
        <v>105654.78</v>
      </c>
      <c r="Y519" s="49" t="s">
        <v>324</v>
      </c>
      <c r="Z519" s="191"/>
      <c r="AA519" s="117">
        <v>45635</v>
      </c>
      <c r="AB519" s="190">
        <f>+W457+W458+W467+W504+W518+Tabla1[[#This Row],[Total a Pagar]]-Tabla1[[#This Row],[SICORE]]</f>
        <v>5728749.3139999993</v>
      </c>
      <c r="AC519" s="188"/>
      <c r="AD519" s="188"/>
      <c r="AE519" s="188"/>
      <c r="AF519" s="188"/>
      <c r="AG519" s="188"/>
      <c r="AH519" s="190"/>
      <c r="AI519" s="188"/>
      <c r="AJ519" s="4" t="s">
        <v>983</v>
      </c>
    </row>
    <row r="520" spans="1:36" hidden="1" x14ac:dyDescent="0.3">
      <c r="A520" s="186" t="s">
        <v>711</v>
      </c>
      <c r="B520" s="187">
        <v>45618</v>
      </c>
      <c r="C520" s="214" t="s">
        <v>26</v>
      </c>
      <c r="D520" s="186" t="s">
        <v>58</v>
      </c>
      <c r="E520" s="219" t="s">
        <v>151</v>
      </c>
      <c r="F520" s="219" t="s">
        <v>940</v>
      </c>
      <c r="G520" s="188" t="s">
        <v>153</v>
      </c>
      <c r="H520" s="188">
        <v>20233929035</v>
      </c>
      <c r="I520" s="4" t="s">
        <v>87</v>
      </c>
      <c r="J520" s="8" t="s">
        <v>381</v>
      </c>
      <c r="K520" s="173">
        <v>1</v>
      </c>
      <c r="L520" s="10">
        <v>477568.47</v>
      </c>
      <c r="M520" s="10">
        <f>+Tabla1[[#This Row],[Neto]]*21%</f>
        <v>100289.37869999999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f>+SUM(Tabla1[[#This Row],[IVA 21%]:[IVA 27%]])</f>
        <v>100289.37869999999</v>
      </c>
      <c r="V520" s="10">
        <f>+SUM(Tabla1[[#This Row],[Neto]:[Impuestos Internos / Otros Tributos]])</f>
        <v>577857.84869999997</v>
      </c>
      <c r="W520" s="10">
        <f>+Tabla1[[#This Row],[Total]]</f>
        <v>577857.84869999997</v>
      </c>
      <c r="X520" s="10">
        <f>+(Tabla1[[#This Row],[Neto]]-224000)*2%</f>
        <v>5071.3693999999996</v>
      </c>
      <c r="Y520" s="10" t="s">
        <v>325</v>
      </c>
      <c r="Z520" s="10"/>
      <c r="AA520" s="192"/>
      <c r="AB520" s="190"/>
      <c r="AC520" s="188"/>
      <c r="AD520" s="188"/>
      <c r="AE520" s="188"/>
      <c r="AF520" s="188"/>
      <c r="AG520" s="188"/>
      <c r="AH520" s="190"/>
      <c r="AI520" s="188"/>
      <c r="AJ520" s="188"/>
    </row>
    <row r="521" spans="1:36" hidden="1" x14ac:dyDescent="0.3">
      <c r="A521" s="186" t="s">
        <v>711</v>
      </c>
      <c r="B521" s="187">
        <v>45616</v>
      </c>
      <c r="C521" s="214" t="s">
        <v>26</v>
      </c>
      <c r="D521" s="186" t="s">
        <v>58</v>
      </c>
      <c r="E521" s="9" t="s">
        <v>74</v>
      </c>
      <c r="F521" s="9" t="s">
        <v>941</v>
      </c>
      <c r="G521" s="4" t="s">
        <v>363</v>
      </c>
      <c r="H521" s="4">
        <v>30716688735</v>
      </c>
      <c r="I521" s="4" t="s">
        <v>142</v>
      </c>
      <c r="J521" s="8" t="s">
        <v>381</v>
      </c>
      <c r="K521" s="173">
        <v>1</v>
      </c>
      <c r="L521" s="10">
        <v>0</v>
      </c>
      <c r="M521" s="10">
        <v>0</v>
      </c>
      <c r="N521" s="10">
        <f>+Tabla1[[#This Row],[Neto]]*10.5%</f>
        <v>0</v>
      </c>
      <c r="O521" s="10">
        <v>0</v>
      </c>
      <c r="P521" s="10">
        <v>0</v>
      </c>
      <c r="Q521" s="10">
        <v>48720</v>
      </c>
      <c r="R521" s="10">
        <v>0</v>
      </c>
      <c r="S521" s="10">
        <v>0</v>
      </c>
      <c r="T521" s="10"/>
      <c r="U521" s="10">
        <f>+SUM(Tabla1[[#This Row],[IVA 21%]:[IVA 27%]])</f>
        <v>0</v>
      </c>
      <c r="V521" s="10">
        <f>+SUM(Tabla1[[#This Row],[Neto]:[Impuestos Internos / Otros Tributos]])</f>
        <v>48720</v>
      </c>
      <c r="W521" s="39">
        <f>+Tabla1[[#This Row],[Total]]</f>
        <v>48720</v>
      </c>
      <c r="X521" s="10"/>
      <c r="Y521" s="49" t="s">
        <v>324</v>
      </c>
      <c r="Z521" s="116">
        <v>45646</v>
      </c>
      <c r="AA521" s="192">
        <v>45632</v>
      </c>
      <c r="AB521" s="190"/>
      <c r="AC521" s="188"/>
      <c r="AD521" s="188"/>
      <c r="AE521" s="188"/>
      <c r="AF521" s="188"/>
      <c r="AG521" s="188"/>
      <c r="AH521" s="190"/>
      <c r="AI521" s="188"/>
      <c r="AJ521" s="4" t="s">
        <v>981</v>
      </c>
    </row>
    <row r="522" spans="1:36" hidden="1" x14ac:dyDescent="0.3">
      <c r="A522" s="186" t="s">
        <v>711</v>
      </c>
      <c r="B522" s="187">
        <v>45602</v>
      </c>
      <c r="C522" s="12" t="s">
        <v>26</v>
      </c>
      <c r="D522" s="8" t="s">
        <v>58</v>
      </c>
      <c r="E522" s="9" t="s">
        <v>74</v>
      </c>
      <c r="F522" s="9" t="s">
        <v>942</v>
      </c>
      <c r="G522" s="99" t="s">
        <v>363</v>
      </c>
      <c r="H522" s="4">
        <v>30716688735</v>
      </c>
      <c r="I522" s="4" t="s">
        <v>142</v>
      </c>
      <c r="J522" s="8" t="s">
        <v>381</v>
      </c>
      <c r="K522" s="173">
        <v>1</v>
      </c>
      <c r="L522" s="100">
        <v>137644.63</v>
      </c>
      <c r="M522" s="100">
        <f>+Tabla1[[#This Row],[Neto]]*21%</f>
        <v>28905.372299999999</v>
      </c>
      <c r="N522" s="100">
        <v>0</v>
      </c>
      <c r="O522" s="100">
        <v>0</v>
      </c>
      <c r="P522" s="100">
        <v>0</v>
      </c>
      <c r="Q522" s="100">
        <v>0</v>
      </c>
      <c r="R522" s="100">
        <v>0</v>
      </c>
      <c r="S522" s="100">
        <v>0</v>
      </c>
      <c r="T522" s="100">
        <v>0</v>
      </c>
      <c r="U522" s="100">
        <f>+SUM(Tabla1[[#This Row],[IVA 21%]:[IVA 27%]])</f>
        <v>28905.372299999999</v>
      </c>
      <c r="V522" s="10">
        <f>+SUM(Tabla1[[#This Row],[Neto]:[Impuestos Internos / Otros Tributos]])</f>
        <v>166550.00229999999</v>
      </c>
      <c r="W522" s="39">
        <f>+Tabla1[[#This Row],[Total]]</f>
        <v>166550.00229999999</v>
      </c>
      <c r="X522" s="100"/>
      <c r="Y522" s="49" t="s">
        <v>324</v>
      </c>
      <c r="Z522" s="116">
        <v>45632</v>
      </c>
      <c r="AA522" s="192">
        <v>45632</v>
      </c>
      <c r="AB522" s="190">
        <v>215270</v>
      </c>
      <c r="AC522" s="188"/>
      <c r="AD522" s="188"/>
      <c r="AE522" s="188"/>
      <c r="AF522" s="188"/>
      <c r="AG522" s="188"/>
      <c r="AH522" s="190">
        <v>0</v>
      </c>
      <c r="AI522" s="188"/>
      <c r="AJ522" s="4" t="s">
        <v>981</v>
      </c>
    </row>
    <row r="523" spans="1:36" hidden="1" x14ac:dyDescent="0.3">
      <c r="A523" s="186" t="s">
        <v>711</v>
      </c>
      <c r="B523" s="187">
        <v>45616</v>
      </c>
      <c r="C523" s="214" t="s">
        <v>26</v>
      </c>
      <c r="D523" s="186" t="s">
        <v>58</v>
      </c>
      <c r="E523" s="9" t="s">
        <v>37</v>
      </c>
      <c r="F523" s="9" t="s">
        <v>943</v>
      </c>
      <c r="G523" s="4" t="s">
        <v>944</v>
      </c>
      <c r="H523" s="4">
        <v>27339703030</v>
      </c>
      <c r="I523" s="4" t="s">
        <v>945</v>
      </c>
      <c r="J523" s="8" t="s">
        <v>381</v>
      </c>
      <c r="K523" s="173">
        <v>1</v>
      </c>
      <c r="L523" s="10">
        <v>3719.01</v>
      </c>
      <c r="M523" s="100">
        <f>+Tabla1[[#This Row],[Neto]]*21%</f>
        <v>780.99210000000005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/>
      <c r="U523" s="10">
        <f>+SUM(Tabla1[[#This Row],[IVA 21%]:[IVA 27%]])</f>
        <v>780.99210000000005</v>
      </c>
      <c r="V523" s="10">
        <f>+SUM(Tabla1[[#This Row],[Neto]:[Impuestos Internos / Otros Tributos]])</f>
        <v>4500.0021000000006</v>
      </c>
      <c r="W523" s="39">
        <f>+Tabla1[[#This Row],[Total]]</f>
        <v>4500.0021000000006</v>
      </c>
      <c r="X523" s="10"/>
      <c r="Y523" s="49" t="s">
        <v>324</v>
      </c>
      <c r="AA523" s="192">
        <v>45616</v>
      </c>
      <c r="AB523" s="190">
        <v>0</v>
      </c>
      <c r="AC523" s="188"/>
      <c r="AD523" s="188"/>
      <c r="AE523" s="188"/>
      <c r="AF523" s="188"/>
      <c r="AG523" s="188"/>
      <c r="AH523" s="190">
        <v>4500</v>
      </c>
      <c r="AI523" s="188"/>
      <c r="AJ523" s="188"/>
    </row>
    <row r="524" spans="1:36" hidden="1" x14ac:dyDescent="0.3">
      <c r="A524" s="186" t="s">
        <v>711</v>
      </c>
      <c r="B524" s="187">
        <v>45607</v>
      </c>
      <c r="C524" s="214" t="s">
        <v>26</v>
      </c>
      <c r="D524" s="186" t="s">
        <v>58</v>
      </c>
      <c r="E524" s="9" t="s">
        <v>151</v>
      </c>
      <c r="F524" s="9" t="s">
        <v>946</v>
      </c>
      <c r="G524" s="4" t="s">
        <v>947</v>
      </c>
      <c r="H524" s="4">
        <v>33698843719</v>
      </c>
      <c r="I524" s="4" t="s">
        <v>142</v>
      </c>
      <c r="J524" s="8" t="s">
        <v>381</v>
      </c>
      <c r="K524" s="173">
        <v>1</v>
      </c>
      <c r="L524" s="100">
        <v>0</v>
      </c>
      <c r="M524" s="100">
        <f>+Tabla1[[#This Row],[Neto]]*21%</f>
        <v>0</v>
      </c>
      <c r="N524" s="100">
        <v>0</v>
      </c>
      <c r="O524" s="100">
        <v>0</v>
      </c>
      <c r="P524" s="100">
        <v>0</v>
      </c>
      <c r="Q524" s="100">
        <v>74704.81</v>
      </c>
      <c r="R524" s="100">
        <v>0</v>
      </c>
      <c r="S524" s="100">
        <v>0</v>
      </c>
      <c r="T524" s="100">
        <v>0</v>
      </c>
      <c r="U524" s="100">
        <f>+SUM(Tabla1[[#This Row],[IVA 21%]:[IVA 27%]])</f>
        <v>0</v>
      </c>
      <c r="V524" s="10">
        <f>+SUM(Tabla1[[#This Row],[Neto]:[Impuestos Internos / Otros Tributos]])</f>
        <v>74704.81</v>
      </c>
      <c r="W524" s="39">
        <f>+Tabla1[[#This Row],[Total]]</f>
        <v>74704.81</v>
      </c>
      <c r="X524" s="100"/>
      <c r="Y524" s="101" t="s">
        <v>325</v>
      </c>
      <c r="Z524" s="101"/>
      <c r="AA524" s="192"/>
      <c r="AB524" s="190"/>
      <c r="AC524" s="188"/>
      <c r="AD524" s="188"/>
      <c r="AE524" s="188"/>
      <c r="AF524" s="188"/>
      <c r="AG524" s="188"/>
      <c r="AH524" s="190"/>
      <c r="AI524" s="188"/>
      <c r="AJ524" s="188"/>
    </row>
    <row r="525" spans="1:36" hidden="1" x14ac:dyDescent="0.3">
      <c r="A525" s="8" t="s">
        <v>711</v>
      </c>
      <c r="B525" s="103">
        <v>45617</v>
      </c>
      <c r="C525" s="12" t="s">
        <v>26</v>
      </c>
      <c r="D525" s="8" t="s">
        <v>58</v>
      </c>
      <c r="E525" s="9" t="s">
        <v>32</v>
      </c>
      <c r="F525" s="9" t="s">
        <v>948</v>
      </c>
      <c r="G525" s="4" t="s">
        <v>949</v>
      </c>
      <c r="H525" s="4">
        <v>30714513504</v>
      </c>
      <c r="I525" s="4" t="s">
        <v>142</v>
      </c>
      <c r="J525" s="8" t="s">
        <v>381</v>
      </c>
      <c r="K525" s="173">
        <v>1</v>
      </c>
      <c r="L525" s="10">
        <v>48595.040000000001</v>
      </c>
      <c r="M525" s="100">
        <f>+Tabla1[[#This Row],[Neto]]*21%</f>
        <v>10204.9584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/>
      <c r="U525" s="10">
        <f>+SUM(Tabla1[[#This Row],[IVA 21%]:[IVA 27%]])</f>
        <v>10204.9584</v>
      </c>
      <c r="V525" s="10">
        <f>+SUM(Tabla1[[#This Row],[Neto]:[Impuestos Internos / Otros Tributos]])</f>
        <v>58799.998399999997</v>
      </c>
      <c r="W525" s="39">
        <f>+Tabla1[[#This Row],[Total]]</f>
        <v>58799.998399999997</v>
      </c>
      <c r="X525" s="10"/>
      <c r="Y525" s="49" t="s">
        <v>324</v>
      </c>
      <c r="AA525" s="192">
        <v>45618</v>
      </c>
      <c r="AB525" s="190">
        <v>58800</v>
      </c>
      <c r="AC525" s="188"/>
      <c r="AD525" s="188"/>
      <c r="AE525" s="188"/>
      <c r="AF525" s="188"/>
      <c r="AG525" s="188"/>
      <c r="AH525" s="190">
        <v>0</v>
      </c>
      <c r="AI525" s="188"/>
      <c r="AJ525" s="188"/>
    </row>
    <row r="526" spans="1:36" hidden="1" x14ac:dyDescent="0.3">
      <c r="A526" s="186" t="s">
        <v>711</v>
      </c>
      <c r="B526" s="187">
        <v>45615</v>
      </c>
      <c r="C526" s="214" t="s">
        <v>402</v>
      </c>
      <c r="D526" s="186" t="s">
        <v>58</v>
      </c>
      <c r="E526" s="215" t="s">
        <v>716</v>
      </c>
      <c r="F526" s="215" t="s">
        <v>953</v>
      </c>
      <c r="G526" s="188" t="s">
        <v>746</v>
      </c>
      <c r="H526" s="188">
        <v>20311306309</v>
      </c>
      <c r="I526" s="188" t="s">
        <v>747</v>
      </c>
      <c r="J526" s="186" t="s">
        <v>381</v>
      </c>
      <c r="K526" s="189">
        <v>1</v>
      </c>
      <c r="L526" s="190">
        <v>7107.44</v>
      </c>
      <c r="M526" s="190">
        <v>1492.56</v>
      </c>
      <c r="N526" s="190">
        <v>0</v>
      </c>
      <c r="O526" s="190">
        <v>0</v>
      </c>
      <c r="P526" s="190">
        <v>0</v>
      </c>
      <c r="Q526" s="190">
        <v>0</v>
      </c>
      <c r="R526" s="190">
        <v>0</v>
      </c>
      <c r="S526" s="190">
        <v>0</v>
      </c>
      <c r="T526" s="190">
        <v>0</v>
      </c>
      <c r="U526" s="190">
        <f>+SUM(Tabla1[[#This Row],[IVA 21%]:[IVA 27%]])</f>
        <v>1492.56</v>
      </c>
      <c r="V526" s="190">
        <f>+SUM(Tabla1[[#This Row],[Neto]:[Impuestos Internos / Otros Tributos]])</f>
        <v>8600</v>
      </c>
      <c r="W526" s="190">
        <f>+Tabla1[[#This Row],[Total]]</f>
        <v>8600</v>
      </c>
      <c r="X526" s="190">
        <v>0</v>
      </c>
      <c r="Y526" s="191" t="s">
        <v>324</v>
      </c>
      <c r="Z526" s="191"/>
      <c r="AA526" s="192">
        <v>45615</v>
      </c>
      <c r="AB526" s="190"/>
      <c r="AC526" s="188"/>
      <c r="AD526" s="188"/>
      <c r="AE526" s="188"/>
      <c r="AF526" s="188"/>
      <c r="AG526" s="188"/>
      <c r="AH526" s="190">
        <v>8600</v>
      </c>
      <c r="AI526" s="188"/>
      <c r="AJ526" s="188"/>
    </row>
    <row r="527" spans="1:36" hidden="1" x14ac:dyDescent="0.3">
      <c r="A527" s="186" t="s">
        <v>711</v>
      </c>
      <c r="B527" s="187">
        <v>45605</v>
      </c>
      <c r="C527" s="214" t="s">
        <v>402</v>
      </c>
      <c r="D527" s="186" t="s">
        <v>58</v>
      </c>
      <c r="E527" s="215" t="s">
        <v>59</v>
      </c>
      <c r="F527" s="215">
        <v>485</v>
      </c>
      <c r="G527" s="188" t="s">
        <v>61</v>
      </c>
      <c r="H527" s="188">
        <v>30716375184</v>
      </c>
      <c r="I527" s="188" t="s">
        <v>62</v>
      </c>
      <c r="J527" s="186" t="s">
        <v>381</v>
      </c>
      <c r="K527" s="189">
        <v>1</v>
      </c>
      <c r="L527" s="190">
        <v>33032.54</v>
      </c>
      <c r="M527" s="190">
        <f>+Tabla1[[#This Row],[Neto]]*21%</f>
        <v>6936.8333999999995</v>
      </c>
      <c r="N527" s="190">
        <v>0</v>
      </c>
      <c r="O527" s="190">
        <v>0</v>
      </c>
      <c r="P527" s="190">
        <v>0</v>
      </c>
      <c r="Q527" s="190">
        <v>0</v>
      </c>
      <c r="R527" s="190">
        <v>0</v>
      </c>
      <c r="S527" s="190">
        <v>0</v>
      </c>
      <c r="T527" s="190">
        <v>0</v>
      </c>
      <c r="U527" s="190">
        <f>+SUM(Tabla1[[#This Row],[IVA 21%]:[IVA 27%]])</f>
        <v>6936.8333999999995</v>
      </c>
      <c r="V527" s="190">
        <f>+SUM(Tabla1[[#This Row],[Neto]:[Impuestos Internos / Otros Tributos]])</f>
        <v>39969.373399999997</v>
      </c>
      <c r="W527" s="190">
        <f>+Tabla1[[#This Row],[Total]]</f>
        <v>39969.373399999997</v>
      </c>
      <c r="X527" s="190">
        <v>0</v>
      </c>
      <c r="Y527" s="191" t="s">
        <v>324</v>
      </c>
      <c r="Z527" s="191"/>
      <c r="AA527" s="192">
        <v>45605</v>
      </c>
      <c r="AB527" s="190">
        <v>0</v>
      </c>
      <c r="AC527" s="188"/>
      <c r="AD527" s="188"/>
      <c r="AE527" s="188"/>
      <c r="AF527" s="188"/>
      <c r="AG527" s="188"/>
      <c r="AH527" s="227">
        <f>+Tabla1[[#This Row],[Total a Pagar]]</f>
        <v>39969.373399999997</v>
      </c>
      <c r="AI527" s="188"/>
      <c r="AJ527" s="188"/>
    </row>
    <row r="528" spans="1:36" hidden="1" x14ac:dyDescent="0.3">
      <c r="A528" s="186" t="s">
        <v>711</v>
      </c>
      <c r="B528" s="187">
        <v>45611</v>
      </c>
      <c r="C528" s="214" t="s">
        <v>26</v>
      </c>
      <c r="D528" s="186" t="s">
        <v>58</v>
      </c>
      <c r="E528" s="215" t="s">
        <v>74</v>
      </c>
      <c r="F528" s="215" t="s">
        <v>954</v>
      </c>
      <c r="G528" s="188" t="s">
        <v>129</v>
      </c>
      <c r="H528" s="188">
        <v>30717926966</v>
      </c>
      <c r="I528" s="188" t="s">
        <v>666</v>
      </c>
      <c r="J528" s="186" t="s">
        <v>381</v>
      </c>
      <c r="K528" s="189">
        <v>1</v>
      </c>
      <c r="L528" s="190">
        <v>185950.35</v>
      </c>
      <c r="M528" s="190">
        <v>39049.57</v>
      </c>
      <c r="N528" s="190">
        <v>0</v>
      </c>
      <c r="O528" s="190">
        <v>0</v>
      </c>
      <c r="P528" s="190">
        <v>0</v>
      </c>
      <c r="Q528" s="190">
        <v>0</v>
      </c>
      <c r="R528" s="190">
        <v>0</v>
      </c>
      <c r="S528" s="190">
        <v>0</v>
      </c>
      <c r="T528" s="190">
        <v>0</v>
      </c>
      <c r="U528" s="190">
        <f>+SUM(Tabla1[[#This Row],[IVA 21%]:[IVA 27%]])</f>
        <v>39049.57</v>
      </c>
      <c r="V528" s="190">
        <f>+SUM(Tabla1[[#This Row],[Neto]:[Impuestos Internos / Otros Tributos]])</f>
        <v>224999.92</v>
      </c>
      <c r="W528" s="190">
        <f>+Tabla1[[#This Row],[Total]]</f>
        <v>224999.92</v>
      </c>
      <c r="X528" s="190">
        <v>0</v>
      </c>
      <c r="Y528" s="228" t="s">
        <v>324</v>
      </c>
      <c r="Z528" s="228"/>
      <c r="AA528" s="192">
        <v>45568</v>
      </c>
      <c r="AB528" s="227">
        <f>+Tabla1[[#This Row],[Total a Pagar]]</f>
        <v>224999.92</v>
      </c>
      <c r="AC528" s="188"/>
      <c r="AD528" s="188"/>
      <c r="AE528" s="188"/>
      <c r="AF528" s="188"/>
      <c r="AG528" s="188"/>
      <c r="AH528" s="190"/>
      <c r="AI528" s="188"/>
      <c r="AJ528" s="188"/>
    </row>
    <row r="529" spans="1:36" hidden="1" x14ac:dyDescent="0.3">
      <c r="A529" s="186" t="s">
        <v>711</v>
      </c>
      <c r="B529" s="187">
        <v>45617</v>
      </c>
      <c r="C529" s="214" t="s">
        <v>26</v>
      </c>
      <c r="D529" s="186" t="s">
        <v>58</v>
      </c>
      <c r="E529" s="215" t="s">
        <v>439</v>
      </c>
      <c r="F529" s="215" t="s">
        <v>955</v>
      </c>
      <c r="G529" s="188" t="s">
        <v>441</v>
      </c>
      <c r="H529" s="188">
        <v>30518408689</v>
      </c>
      <c r="I529" s="188" t="s">
        <v>442</v>
      </c>
      <c r="J529" s="186" t="s">
        <v>381</v>
      </c>
      <c r="K529" s="189">
        <v>1</v>
      </c>
      <c r="L529" s="190">
        <v>18504.810000000001</v>
      </c>
      <c r="M529" s="190">
        <f>+Tabla1[[#This Row],[Neto]]*21%</f>
        <v>3886.0101</v>
      </c>
      <c r="N529" s="190">
        <v>0</v>
      </c>
      <c r="O529" s="190">
        <v>0</v>
      </c>
      <c r="P529" s="190">
        <v>79.569999999999993</v>
      </c>
      <c r="Q529" s="190">
        <v>0</v>
      </c>
      <c r="R529" s="10">
        <f>+Tabla1[[#This Row],[Neto]]*3%</f>
        <v>555.14430000000004</v>
      </c>
      <c r="S529" s="190">
        <v>724.09</v>
      </c>
      <c r="T529" s="190">
        <v>1609.18</v>
      </c>
      <c r="U529" s="190">
        <f>+SUM(Tabla1[[#This Row],[IVA 21%]:[IVA 27%]])</f>
        <v>3886.0101</v>
      </c>
      <c r="V529" s="190">
        <f>+SUM(Tabla1[[#This Row],[Neto]:[Impuestos Internos / Otros Tributos]])</f>
        <v>25358.804400000001</v>
      </c>
      <c r="W529" s="190">
        <f>+Tabla1[[#This Row],[Total]]</f>
        <v>25358.804400000001</v>
      </c>
      <c r="X529" s="190">
        <v>0</v>
      </c>
      <c r="Y529" s="191" t="s">
        <v>324</v>
      </c>
      <c r="Z529" s="191"/>
      <c r="AA529" s="192">
        <v>45617</v>
      </c>
      <c r="AB529" s="190"/>
      <c r="AC529" s="188"/>
      <c r="AD529" s="188"/>
      <c r="AE529" s="188"/>
      <c r="AF529" s="188"/>
      <c r="AG529" s="188"/>
      <c r="AH529" s="190"/>
      <c r="AI529" s="188"/>
      <c r="AJ529" s="188"/>
    </row>
    <row r="530" spans="1:36" hidden="1" x14ac:dyDescent="0.3">
      <c r="A530" s="186" t="s">
        <v>337</v>
      </c>
      <c r="B530" s="187">
        <v>45588</v>
      </c>
      <c r="C530" s="214" t="s">
        <v>26</v>
      </c>
      <c r="D530" s="186" t="s">
        <v>58</v>
      </c>
      <c r="E530" s="215" t="s">
        <v>28</v>
      </c>
      <c r="F530" s="215" t="s">
        <v>612</v>
      </c>
      <c r="G530" s="188" t="s">
        <v>613</v>
      </c>
      <c r="H530" s="188">
        <v>30716877384</v>
      </c>
      <c r="I530" s="188" t="s">
        <v>614</v>
      </c>
      <c r="J530" s="186" t="s">
        <v>381</v>
      </c>
      <c r="K530" s="189">
        <v>1</v>
      </c>
      <c r="L530" s="190">
        <v>1299000</v>
      </c>
      <c r="M530" s="190">
        <f>+Tabla1[[#This Row],[Neto]]*21%</f>
        <v>272790</v>
      </c>
      <c r="N530" s="190">
        <v>0</v>
      </c>
      <c r="O530" s="190">
        <v>0</v>
      </c>
      <c r="P530" s="190">
        <v>0</v>
      </c>
      <c r="Q530" s="190">
        <v>0</v>
      </c>
      <c r="R530" s="190">
        <v>0</v>
      </c>
      <c r="S530" s="190">
        <v>0</v>
      </c>
      <c r="T530" s="190">
        <v>0</v>
      </c>
      <c r="U530" s="190">
        <f>+SUM(Tabla1[[#This Row],[IVA 21%]:[IVA 27%]])</f>
        <v>272790</v>
      </c>
      <c r="V530" s="190">
        <f>+SUM(Tabla1[[#This Row],[Neto]:[Impuestos Internos / Otros Tributos]])</f>
        <v>1571790</v>
      </c>
      <c r="W530" s="190">
        <f>+Tabla1[[#This Row],[Total]]</f>
        <v>1571790</v>
      </c>
      <c r="X530" s="190">
        <v>0</v>
      </c>
      <c r="Y530" s="191" t="s">
        <v>324</v>
      </c>
      <c r="Z530" s="191"/>
      <c r="AA530" s="192">
        <v>45588</v>
      </c>
      <c r="AB530" s="190">
        <v>1571790</v>
      </c>
      <c r="AC530" s="188"/>
      <c r="AD530" s="188"/>
      <c r="AE530" s="188"/>
      <c r="AF530" s="188"/>
      <c r="AG530" s="188"/>
      <c r="AH530" s="190">
        <v>0</v>
      </c>
      <c r="AI530" s="188"/>
      <c r="AJ530" s="188"/>
    </row>
    <row r="531" spans="1:36" hidden="1" x14ac:dyDescent="0.3">
      <c r="A531" s="186" t="s">
        <v>711</v>
      </c>
      <c r="B531" s="187">
        <v>45623</v>
      </c>
      <c r="C531" s="80" t="s">
        <v>26</v>
      </c>
      <c r="D531" s="78" t="s">
        <v>58</v>
      </c>
      <c r="E531" s="9" t="s">
        <v>28</v>
      </c>
      <c r="F531" s="9" t="s">
        <v>957</v>
      </c>
      <c r="G531" s="81" t="s">
        <v>613</v>
      </c>
      <c r="H531" s="81">
        <v>30716877384</v>
      </c>
      <c r="I531" s="81" t="s">
        <v>614</v>
      </c>
      <c r="J531" s="78" t="s">
        <v>381</v>
      </c>
      <c r="K531" s="173">
        <v>1</v>
      </c>
      <c r="L531" s="82">
        <v>607900</v>
      </c>
      <c r="M531" s="82">
        <f>+Tabla1[[#This Row],[Neto]]*21%</f>
        <v>127659</v>
      </c>
      <c r="N531" s="82">
        <v>0</v>
      </c>
      <c r="O531" s="82">
        <v>0</v>
      </c>
      <c r="P531" s="82">
        <v>0</v>
      </c>
      <c r="Q531" s="82">
        <v>0</v>
      </c>
      <c r="R531" s="82">
        <v>0</v>
      </c>
      <c r="S531" s="82">
        <v>0</v>
      </c>
      <c r="T531" s="82">
        <v>0</v>
      </c>
      <c r="U531" s="82">
        <f>+SUM(Tabla1[[#This Row],[IVA 21%]:[IVA 27%]])</f>
        <v>127659</v>
      </c>
      <c r="V531" s="10">
        <f>+SUM(Tabla1[[#This Row],[Neto]:[Impuestos Internos / Otros Tributos]])</f>
        <v>735559</v>
      </c>
      <c r="W531" s="10">
        <f>+Tabla1[[#This Row],[Total]]</f>
        <v>735559</v>
      </c>
      <c r="X531" s="82">
        <v>7678</v>
      </c>
      <c r="Y531" s="83" t="s">
        <v>324</v>
      </c>
      <c r="Z531" s="83"/>
      <c r="AA531" s="192">
        <v>45623</v>
      </c>
      <c r="AB531" s="190">
        <f>+Tabla1[[#This Row],[Total a Pagar]]-Tabla1[[#This Row],[SICORE]]</f>
        <v>727881</v>
      </c>
      <c r="AC531" s="188"/>
      <c r="AD531" s="188"/>
      <c r="AE531" s="188"/>
      <c r="AF531" s="188"/>
      <c r="AG531" s="188"/>
      <c r="AH531" s="190">
        <v>0</v>
      </c>
      <c r="AI531" s="188"/>
      <c r="AJ531" s="188"/>
    </row>
    <row r="532" spans="1:36" hidden="1" x14ac:dyDescent="0.3">
      <c r="A532" s="186" t="s">
        <v>711</v>
      </c>
      <c r="B532" s="187">
        <v>45622</v>
      </c>
      <c r="C532" s="214" t="s">
        <v>26</v>
      </c>
      <c r="D532" s="186" t="s">
        <v>27</v>
      </c>
      <c r="E532" s="215" t="s">
        <v>28</v>
      </c>
      <c r="F532" s="215" t="s">
        <v>534</v>
      </c>
      <c r="G532" s="188" t="s">
        <v>217</v>
      </c>
      <c r="H532" s="188">
        <v>20406602681</v>
      </c>
      <c r="I532" s="188" t="s">
        <v>796</v>
      </c>
      <c r="J532" s="186" t="s">
        <v>381</v>
      </c>
      <c r="K532" s="189">
        <v>1</v>
      </c>
      <c r="L532" s="190">
        <v>700000</v>
      </c>
      <c r="M532" s="190">
        <v>0</v>
      </c>
      <c r="N532" s="190">
        <v>0</v>
      </c>
      <c r="O532" s="190">
        <v>0</v>
      </c>
      <c r="P532" s="190">
        <v>0</v>
      </c>
      <c r="Q532" s="190">
        <v>0</v>
      </c>
      <c r="R532" s="190">
        <v>0</v>
      </c>
      <c r="S532" s="190">
        <v>0</v>
      </c>
      <c r="T532" s="190">
        <v>0</v>
      </c>
      <c r="U532" s="190">
        <f>+SUM(Tabla1[[#This Row],[IVA 21%]:[IVA 27%]])</f>
        <v>0</v>
      </c>
      <c r="V532" s="190">
        <f>+SUM(Tabla1[[#This Row],[Neto]:[Impuestos Internos / Otros Tributos]])</f>
        <v>700000</v>
      </c>
      <c r="W532" s="190">
        <f>+V532</f>
        <v>700000</v>
      </c>
      <c r="X532" s="190">
        <v>0</v>
      </c>
      <c r="Y532" s="191" t="s">
        <v>324</v>
      </c>
      <c r="Z532" s="191"/>
      <c r="AA532" s="192">
        <v>45591</v>
      </c>
      <c r="AB532" s="227">
        <f>+Tabla1[[#This Row],[Total a Pagar]]</f>
        <v>700000</v>
      </c>
      <c r="AC532" s="188"/>
      <c r="AD532" s="188"/>
      <c r="AE532" s="188"/>
      <c r="AF532" s="188"/>
      <c r="AG532" s="188"/>
      <c r="AH532" s="190">
        <v>0</v>
      </c>
      <c r="AI532" s="188"/>
      <c r="AJ532" s="188"/>
    </row>
    <row r="533" spans="1:36" s="243" customFormat="1" hidden="1" x14ac:dyDescent="0.3">
      <c r="A533" s="231" t="s">
        <v>711</v>
      </c>
      <c r="B533" s="232">
        <v>45621</v>
      </c>
      <c r="C533" s="233" t="s">
        <v>26</v>
      </c>
      <c r="D533" s="234" t="s">
        <v>58</v>
      </c>
      <c r="E533" s="235" t="s">
        <v>28</v>
      </c>
      <c r="F533" s="235" t="s">
        <v>957</v>
      </c>
      <c r="G533" s="236" t="s">
        <v>958</v>
      </c>
      <c r="H533" s="236">
        <v>30715834746</v>
      </c>
      <c r="I533" s="237" t="s">
        <v>614</v>
      </c>
      <c r="J533" s="234" t="s">
        <v>381</v>
      </c>
      <c r="K533" s="238">
        <v>1</v>
      </c>
      <c r="L533" s="239">
        <v>607900</v>
      </c>
      <c r="M533" s="239">
        <f>+Tabla1[[#This Row],[Neto]]*21%</f>
        <v>127659</v>
      </c>
      <c r="N533" s="240"/>
      <c r="O533" s="240"/>
      <c r="P533" s="240"/>
      <c r="Q533" s="240"/>
      <c r="R533" s="240"/>
      <c r="S533" s="240"/>
      <c r="T533" s="240"/>
      <c r="U533" s="240">
        <f>+SUM(Tabla1[[#This Row],[IVA 21%]:[IVA 27%]])</f>
        <v>127659</v>
      </c>
      <c r="V533" s="229">
        <f>+SUM(Tabla1[[#This Row],[Neto]:[Impuestos Internos / Otros Tributos]])</f>
        <v>735559</v>
      </c>
      <c r="W533" s="240">
        <f>+V533</f>
        <v>735559</v>
      </c>
      <c r="X533" s="240"/>
      <c r="Y533" s="241"/>
      <c r="Z533" s="241"/>
      <c r="AA533" s="242" t="s">
        <v>959</v>
      </c>
      <c r="AB533" s="240"/>
      <c r="AC533" s="236"/>
      <c r="AD533" s="236"/>
      <c r="AE533" s="236"/>
      <c r="AF533" s="236"/>
      <c r="AG533" s="236"/>
      <c r="AH533" s="240"/>
      <c r="AI533" s="236"/>
      <c r="AJ533" s="236"/>
    </row>
    <row r="534" spans="1:36" hidden="1" x14ac:dyDescent="0.3">
      <c r="A534" s="186" t="s">
        <v>711</v>
      </c>
      <c r="B534" s="187">
        <v>45622</v>
      </c>
      <c r="C534" s="80" t="s">
        <v>26</v>
      </c>
      <c r="D534" s="8" t="s">
        <v>58</v>
      </c>
      <c r="E534" s="9" t="s">
        <v>151</v>
      </c>
      <c r="F534" s="9" t="s">
        <v>960</v>
      </c>
      <c r="G534" s="81" t="s">
        <v>360</v>
      </c>
      <c r="H534" s="4">
        <v>30716939762</v>
      </c>
      <c r="I534" s="4" t="s">
        <v>62</v>
      </c>
      <c r="J534" s="8" t="s">
        <v>381</v>
      </c>
      <c r="K534" s="173">
        <v>1</v>
      </c>
      <c r="L534" s="82">
        <v>90072</v>
      </c>
      <c r="M534" s="82">
        <f>+Tabla1[[#This Row],[Neto]]*21%</f>
        <v>18915.12</v>
      </c>
      <c r="N534" s="82">
        <v>0</v>
      </c>
      <c r="O534" s="82">
        <v>0</v>
      </c>
      <c r="P534" s="82">
        <v>0</v>
      </c>
      <c r="Q534" s="82">
        <v>0</v>
      </c>
      <c r="R534" s="82">
        <v>0</v>
      </c>
      <c r="S534" s="82">
        <v>0</v>
      </c>
      <c r="T534" s="82">
        <v>0</v>
      </c>
      <c r="U534" s="82">
        <f>+SUM(Tabla1[[#This Row],[IVA 21%]:[IVA 27%]])</f>
        <v>18915.12</v>
      </c>
      <c r="V534" s="10">
        <f>+SUM(Tabla1[[#This Row],[Neto]:[Impuestos Internos / Otros Tributos]])</f>
        <v>108987.12</v>
      </c>
      <c r="W534" s="82">
        <f>+Tabla1[[#This Row],[Total]]</f>
        <v>108987.12</v>
      </c>
      <c r="X534" s="82">
        <v>0</v>
      </c>
      <c r="Y534" s="49" t="s">
        <v>324</v>
      </c>
      <c r="AA534" s="192">
        <v>45624</v>
      </c>
      <c r="AB534" s="82">
        <f>+Tabla1[[#This Row],[Total a Pagar]]-AB148</f>
        <v>108987.12</v>
      </c>
      <c r="AC534" s="188"/>
      <c r="AD534" s="188"/>
      <c r="AE534" s="188"/>
      <c r="AF534" s="188"/>
      <c r="AG534" s="188"/>
      <c r="AH534" s="190">
        <v>0</v>
      </c>
      <c r="AI534" s="188"/>
      <c r="AJ534" s="188"/>
    </row>
    <row r="535" spans="1:36" hidden="1" x14ac:dyDescent="0.3">
      <c r="A535" s="186" t="s">
        <v>711</v>
      </c>
      <c r="B535" s="187">
        <v>45621</v>
      </c>
      <c r="C535" s="12" t="s">
        <v>26</v>
      </c>
      <c r="D535" s="8" t="s">
        <v>58</v>
      </c>
      <c r="E535" s="9" t="s">
        <v>124</v>
      </c>
      <c r="F535" s="9" t="s">
        <v>965</v>
      </c>
      <c r="G535" s="4" t="s">
        <v>126</v>
      </c>
      <c r="H535" s="4">
        <v>30716596881</v>
      </c>
      <c r="I535" s="4" t="s">
        <v>442</v>
      </c>
      <c r="J535" s="8" t="s">
        <v>381</v>
      </c>
      <c r="K535" s="173">
        <v>1</v>
      </c>
      <c r="L535" s="10">
        <v>27438.02</v>
      </c>
      <c r="M535" s="10">
        <f>+Tabla1[[#This Row],[Neto]]*21%</f>
        <v>5761.9841999999999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90"/>
      <c r="U535" s="190">
        <f>+SUM(Tabla1[[#This Row],[IVA 21%]:[IVA 27%]])</f>
        <v>5761.9841999999999</v>
      </c>
      <c r="V535" s="10">
        <f>+SUM(Tabla1[[#This Row],[Neto]:[Impuestos Internos / Otros Tributos]])</f>
        <v>33200.004200000003</v>
      </c>
      <c r="W535" s="10">
        <f>+Tabla1[[#This Row],[Total]]</f>
        <v>33200.004200000003</v>
      </c>
      <c r="X535" s="190">
        <v>0</v>
      </c>
      <c r="Y535" s="191" t="s">
        <v>325</v>
      </c>
      <c r="Z535" s="191"/>
      <c r="AA535" s="192"/>
      <c r="AB535" s="190"/>
      <c r="AC535" s="188"/>
      <c r="AD535" s="188"/>
      <c r="AE535" s="188"/>
      <c r="AF535" s="188"/>
      <c r="AG535" s="188"/>
      <c r="AH535" s="190"/>
      <c r="AI535" s="188"/>
      <c r="AJ535" s="188"/>
    </row>
    <row r="536" spans="1:36" hidden="1" x14ac:dyDescent="0.3">
      <c r="A536" s="8" t="s">
        <v>966</v>
      </c>
      <c r="B536" s="53">
        <v>45627</v>
      </c>
      <c r="C536" s="118" t="s">
        <v>641</v>
      </c>
      <c r="D536" s="8"/>
      <c r="E536" s="8"/>
      <c r="F536" s="8"/>
      <c r="G536" s="104" t="s">
        <v>787</v>
      </c>
      <c r="H536" s="104"/>
      <c r="I536" s="4" t="s">
        <v>986</v>
      </c>
      <c r="J536" s="8" t="s">
        <v>381</v>
      </c>
      <c r="K536" s="173">
        <v>1</v>
      </c>
      <c r="L536" s="105">
        <v>800000</v>
      </c>
      <c r="M536" s="105">
        <v>0</v>
      </c>
      <c r="N536" s="105">
        <v>0</v>
      </c>
      <c r="O536" s="105">
        <v>0</v>
      </c>
      <c r="P536" s="105">
        <v>0</v>
      </c>
      <c r="Q536" s="105">
        <v>0</v>
      </c>
      <c r="R536" s="105">
        <v>0</v>
      </c>
      <c r="S536" s="105">
        <v>0</v>
      </c>
      <c r="T536" s="105">
        <v>0</v>
      </c>
      <c r="U536" s="105">
        <f>+SUM(Tabla1[[#This Row],[IVA 21%]:[IVA 27%]])</f>
        <v>0</v>
      </c>
      <c r="V536" s="10">
        <f>+SUM(Tabla1[[#This Row],[Neto]:[Impuestos Internos / Otros Tributos]])</f>
        <v>800000</v>
      </c>
      <c r="W536" s="10">
        <f>+Tabla1[[#This Row],[Total]]</f>
        <v>800000</v>
      </c>
      <c r="X536" s="105">
        <v>0</v>
      </c>
      <c r="Y536" s="49" t="s">
        <v>324</v>
      </c>
      <c r="Z536" s="119"/>
      <c r="AA536" s="109"/>
    </row>
    <row r="537" spans="1:36" hidden="1" x14ac:dyDescent="0.3">
      <c r="A537" s="186" t="s">
        <v>966</v>
      </c>
      <c r="B537" s="187">
        <v>45628</v>
      </c>
      <c r="C537" s="12" t="s">
        <v>26</v>
      </c>
      <c r="D537" s="8" t="s">
        <v>27</v>
      </c>
      <c r="E537" s="9" t="s">
        <v>37</v>
      </c>
      <c r="F537" s="9" t="s">
        <v>967</v>
      </c>
      <c r="G537" s="4" t="s">
        <v>320</v>
      </c>
      <c r="H537" s="4">
        <v>20222549788</v>
      </c>
      <c r="I537" s="4" t="s">
        <v>968</v>
      </c>
      <c r="J537" s="8" t="s">
        <v>381</v>
      </c>
      <c r="K537" s="173">
        <v>1</v>
      </c>
      <c r="L537" s="10">
        <v>273032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f>+SUM(Tabla1[[#This Row],[IVA 21%]:[IVA 27%]])</f>
        <v>0</v>
      </c>
      <c r="V537" s="10">
        <f>+SUM(Tabla1[[#This Row],[Neto]:[Impuestos Internos / Otros Tributos]])</f>
        <v>273032</v>
      </c>
      <c r="W537" s="10">
        <f>+Tabla1[[#This Row],[Total]]</f>
        <v>273032</v>
      </c>
      <c r="X537" s="190">
        <v>0</v>
      </c>
      <c r="Y537" s="191" t="s">
        <v>324</v>
      </c>
      <c r="Z537" s="191"/>
      <c r="AA537" s="109">
        <v>45628</v>
      </c>
      <c r="AB537" s="190">
        <v>273032</v>
      </c>
      <c r="AC537" s="188"/>
      <c r="AD537" s="188"/>
      <c r="AE537" s="188"/>
      <c r="AF537" s="188"/>
      <c r="AG537" s="188"/>
      <c r="AH537" s="190"/>
      <c r="AI537" s="188"/>
      <c r="AJ537" s="188"/>
    </row>
    <row r="538" spans="1:36" hidden="1" x14ac:dyDescent="0.3">
      <c r="A538" s="186" t="s">
        <v>966</v>
      </c>
      <c r="B538" s="187">
        <v>45628</v>
      </c>
      <c r="C538" s="12" t="s">
        <v>26</v>
      </c>
      <c r="D538" s="8" t="s">
        <v>27</v>
      </c>
      <c r="E538" s="9" t="s">
        <v>37</v>
      </c>
      <c r="F538" s="9" t="s">
        <v>969</v>
      </c>
      <c r="G538" s="188" t="s">
        <v>970</v>
      </c>
      <c r="H538" s="188">
        <v>30999263158</v>
      </c>
      <c r="I538" s="188" t="s">
        <v>971</v>
      </c>
      <c r="J538" s="8" t="s">
        <v>381</v>
      </c>
      <c r="K538" s="173">
        <v>1</v>
      </c>
      <c r="L538" s="190">
        <v>0</v>
      </c>
      <c r="M538" s="190">
        <v>0</v>
      </c>
      <c r="N538" s="190">
        <v>0</v>
      </c>
      <c r="O538" s="190">
        <v>0</v>
      </c>
      <c r="P538" s="190">
        <v>0</v>
      </c>
      <c r="Q538" s="190">
        <v>920000</v>
      </c>
      <c r="R538" s="190">
        <v>0</v>
      </c>
      <c r="S538" s="190">
        <v>0</v>
      </c>
      <c r="T538" s="190">
        <v>0</v>
      </c>
      <c r="U538" s="10">
        <f>+SUM(Tabla1[[#This Row],[IVA 21%]:[IVA 27%]])</f>
        <v>0</v>
      </c>
      <c r="V538" s="10">
        <f>+SUM(Tabla1[[#This Row],[Neto]:[Impuestos Internos / Otros Tributos]])</f>
        <v>920000</v>
      </c>
      <c r="W538" s="10">
        <f>+Tabla1[[#This Row],[Total]]</f>
        <v>920000</v>
      </c>
      <c r="X538" s="190">
        <v>0</v>
      </c>
      <c r="Y538" s="191" t="s">
        <v>324</v>
      </c>
      <c r="Z538" s="191"/>
      <c r="AA538" s="192">
        <v>45628</v>
      </c>
      <c r="AB538" s="190">
        <v>920000</v>
      </c>
      <c r="AC538" s="188"/>
      <c r="AD538" s="188"/>
      <c r="AE538" s="188"/>
      <c r="AF538" s="188"/>
      <c r="AG538" s="188"/>
      <c r="AH538" s="190">
        <v>0</v>
      </c>
      <c r="AI538" s="188"/>
      <c r="AJ538" s="188"/>
    </row>
    <row r="539" spans="1:36" hidden="1" x14ac:dyDescent="0.3">
      <c r="A539" s="186" t="s">
        <v>966</v>
      </c>
      <c r="B539" s="187">
        <v>45628</v>
      </c>
      <c r="C539" s="12" t="s">
        <v>410</v>
      </c>
      <c r="D539" s="8" t="s">
        <v>58</v>
      </c>
      <c r="E539" s="9" t="s">
        <v>74</v>
      </c>
      <c r="F539" s="9" t="s">
        <v>972</v>
      </c>
      <c r="G539" s="4" t="s">
        <v>427</v>
      </c>
      <c r="H539" s="4">
        <v>30580639034</v>
      </c>
      <c r="I539" s="4" t="s">
        <v>428</v>
      </c>
      <c r="J539" s="8" t="s">
        <v>381</v>
      </c>
      <c r="K539" s="173">
        <v>1</v>
      </c>
      <c r="L539" s="10">
        <v>132394.03</v>
      </c>
      <c r="M539" s="10">
        <f>+Tabla1[[#This Row],[Neto]]*21%</f>
        <v>27802.746299999999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f>+SUM(Tabla1[[#This Row],[IVA 21%]:[IVA 27%]])</f>
        <v>27802.746299999999</v>
      </c>
      <c r="V539" s="10">
        <f>+SUM(Tabla1[[#This Row],[Neto]:[Impuestos Internos / Otros Tributos]])</f>
        <v>160196.7763</v>
      </c>
      <c r="W539" s="10">
        <f>+Tabla1[[#This Row],[Total]]</f>
        <v>160196.7763</v>
      </c>
      <c r="X539" s="190">
        <v>0</v>
      </c>
      <c r="Y539" s="191" t="s">
        <v>325</v>
      </c>
      <c r="Z539" s="109">
        <v>45659</v>
      </c>
      <c r="AA539" s="192"/>
      <c r="AB539" s="190"/>
      <c r="AC539" s="188"/>
      <c r="AD539" s="188"/>
      <c r="AE539" s="188"/>
      <c r="AF539" s="188"/>
      <c r="AG539" s="188"/>
      <c r="AH539" s="190"/>
      <c r="AI539" s="188"/>
      <c r="AJ539" s="188"/>
    </row>
    <row r="540" spans="1:36" hidden="1" x14ac:dyDescent="0.3">
      <c r="A540" s="186" t="s">
        <v>966</v>
      </c>
      <c r="B540" s="187">
        <v>45628</v>
      </c>
      <c r="C540" s="80" t="s">
        <v>26</v>
      </c>
      <c r="D540" s="8" t="s">
        <v>58</v>
      </c>
      <c r="E540" s="9" t="s">
        <v>32</v>
      </c>
      <c r="F540" s="9" t="s">
        <v>973</v>
      </c>
      <c r="G540" s="188" t="s">
        <v>974</v>
      </c>
      <c r="H540" s="188">
        <v>30711867240</v>
      </c>
      <c r="I540" s="188" t="s">
        <v>975</v>
      </c>
      <c r="J540" s="8" t="s">
        <v>381</v>
      </c>
      <c r="K540" s="173">
        <v>1</v>
      </c>
      <c r="L540" s="190">
        <v>74930</v>
      </c>
      <c r="M540" s="10">
        <f>+Tabla1[[#This Row],[Neto]]*21%</f>
        <v>15735.3</v>
      </c>
      <c r="N540" s="190">
        <v>0</v>
      </c>
      <c r="O540" s="190">
        <v>0</v>
      </c>
      <c r="P540" s="190">
        <v>0</v>
      </c>
      <c r="Q540" s="190">
        <v>0</v>
      </c>
      <c r="R540" s="190">
        <v>0</v>
      </c>
      <c r="S540" s="190">
        <v>0</v>
      </c>
      <c r="T540" s="190">
        <v>0</v>
      </c>
      <c r="U540" s="190">
        <f>+SUM(Tabla1[[#This Row],[IVA 21%]:[IVA 27%]])</f>
        <v>15735.3</v>
      </c>
      <c r="V540" s="10">
        <f>+SUM(Tabla1[[#This Row],[Neto]:[Impuestos Internos / Otros Tributos]])</f>
        <v>90665.3</v>
      </c>
      <c r="W540" s="10">
        <f>+Tabla1[[#This Row],[Total]]</f>
        <v>90665.3</v>
      </c>
      <c r="X540" s="190">
        <v>0</v>
      </c>
      <c r="Y540" s="49" t="s">
        <v>324</v>
      </c>
      <c r="Z540" s="192">
        <v>45637</v>
      </c>
      <c r="AA540" s="192">
        <v>45636</v>
      </c>
      <c r="AB540" s="190">
        <f>+Tabla1[[#This Row],[Total a Pagar]]</f>
        <v>90665.3</v>
      </c>
      <c r="AC540" s="188"/>
      <c r="AD540" s="188"/>
      <c r="AE540" s="188"/>
      <c r="AF540" s="188"/>
      <c r="AG540" s="188"/>
      <c r="AH540" s="190">
        <v>0</v>
      </c>
      <c r="AI540" s="188"/>
      <c r="AJ540" s="188"/>
    </row>
    <row r="541" spans="1:36" hidden="1" x14ac:dyDescent="0.3">
      <c r="A541" s="186" t="s">
        <v>966</v>
      </c>
      <c r="B541" s="53">
        <v>45566</v>
      </c>
      <c r="C541" s="12" t="s">
        <v>26</v>
      </c>
      <c r="D541" s="8" t="s">
        <v>58</v>
      </c>
      <c r="E541" s="9" t="s">
        <v>37</v>
      </c>
      <c r="F541" s="9" t="s">
        <v>978</v>
      </c>
      <c r="G541" s="4" t="s">
        <v>155</v>
      </c>
      <c r="H541" s="4">
        <v>30715721461</v>
      </c>
      <c r="I541" s="4" t="s">
        <v>979</v>
      </c>
      <c r="J541" s="8" t="s">
        <v>381</v>
      </c>
      <c r="K541" s="173">
        <v>1</v>
      </c>
      <c r="L541" s="10">
        <v>57000</v>
      </c>
      <c r="M541" s="10">
        <f>+Tabla1[[#This Row],[Neto]]*21%</f>
        <v>11970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f>+SUM(Tabla1[[#This Row],[IVA 21%]:[IVA 27%]])</f>
        <v>11970</v>
      </c>
      <c r="V541" s="10">
        <f>+SUM(Tabla1[[#This Row],[Neto]:[Impuestos Internos / Otros Tributos]])</f>
        <v>68970</v>
      </c>
      <c r="W541" s="10">
        <f>+Tabla1[[#This Row],[Total]]</f>
        <v>68970</v>
      </c>
      <c r="X541" s="190"/>
      <c r="Y541" s="191" t="s">
        <v>325</v>
      </c>
      <c r="Z541" s="109">
        <v>45646</v>
      </c>
      <c r="AA541" s="192"/>
      <c r="AB541" s="190"/>
      <c r="AC541" s="188"/>
      <c r="AD541" s="188"/>
      <c r="AE541" s="188"/>
      <c r="AF541" s="188"/>
      <c r="AG541" s="188"/>
      <c r="AH541" s="190"/>
      <c r="AI541" s="188"/>
      <c r="AJ541" s="188"/>
    </row>
    <row r="542" spans="1:36" x14ac:dyDescent="0.3">
      <c r="A542" s="186" t="s">
        <v>966</v>
      </c>
      <c r="B542" s="53">
        <v>45630</v>
      </c>
      <c r="C542" s="118" t="s">
        <v>26</v>
      </c>
      <c r="D542" s="102" t="s">
        <v>58</v>
      </c>
      <c r="E542" s="121" t="s">
        <v>32</v>
      </c>
      <c r="F542" s="9" t="s">
        <v>980</v>
      </c>
      <c r="G542" s="104" t="s">
        <v>146</v>
      </c>
      <c r="H542" s="104">
        <v>33716385359</v>
      </c>
      <c r="I542" s="104" t="s">
        <v>142</v>
      </c>
      <c r="J542" s="102" t="s">
        <v>381</v>
      </c>
      <c r="K542" s="173">
        <v>1</v>
      </c>
      <c r="L542" s="10">
        <v>1269194</v>
      </c>
      <c r="M542" s="10">
        <v>266530.74</v>
      </c>
      <c r="N542" s="10">
        <v>0</v>
      </c>
      <c r="O542" s="10">
        <v>0</v>
      </c>
      <c r="P542" s="10">
        <v>0</v>
      </c>
      <c r="Q542" s="10">
        <v>3730133</v>
      </c>
      <c r="R542" s="10">
        <v>179975.77</v>
      </c>
      <c r="S542" s="10">
        <v>0</v>
      </c>
      <c r="T542" s="10">
        <v>0</v>
      </c>
      <c r="U542" s="10">
        <f>+SUM(Tabla1[[#This Row],[IVA 21%]:[IVA 27%]])</f>
        <v>266530.74</v>
      </c>
      <c r="V542" s="10">
        <f>+SUM(Tabla1[[#This Row],[Neto]:[Impuestos Internos / Otros Tributos]])</f>
        <v>5445833.5099999998</v>
      </c>
      <c r="W542" s="10">
        <f>+Tabla1[[#This Row],[Total]]</f>
        <v>5445833.5099999998</v>
      </c>
      <c r="X542" s="190"/>
      <c r="Y542" s="191" t="s">
        <v>325</v>
      </c>
      <c r="Z542" s="116">
        <v>45646</v>
      </c>
      <c r="AA542" s="192"/>
      <c r="AB542" s="190"/>
      <c r="AC542" s="188"/>
      <c r="AD542" s="188"/>
      <c r="AE542" s="188"/>
      <c r="AF542" s="188"/>
      <c r="AG542" s="188"/>
      <c r="AH542" s="190"/>
      <c r="AI542" s="188"/>
      <c r="AJ542" s="188"/>
    </row>
    <row r="543" spans="1:36" hidden="1" x14ac:dyDescent="0.3">
      <c r="A543" s="8" t="s">
        <v>966</v>
      </c>
      <c r="B543" s="103">
        <v>45601</v>
      </c>
      <c r="C543" s="12" t="s">
        <v>26</v>
      </c>
      <c r="D543" s="8" t="s">
        <v>58</v>
      </c>
      <c r="E543" s="9" t="s">
        <v>32</v>
      </c>
      <c r="F543" s="9" t="s">
        <v>984</v>
      </c>
      <c r="G543" s="104" t="s">
        <v>282</v>
      </c>
      <c r="H543" s="4">
        <v>30714721301</v>
      </c>
      <c r="I543" s="4" t="s">
        <v>985</v>
      </c>
      <c r="J543" s="8" t="s">
        <v>381</v>
      </c>
      <c r="K543" s="173">
        <v>1</v>
      </c>
      <c r="L543" s="105">
        <v>1069950.78</v>
      </c>
      <c r="M543" s="105">
        <f>+Tabla1[[#This Row],[Neto]]*21%</f>
        <v>224689.66380000001</v>
      </c>
      <c r="N543" s="105">
        <v>0</v>
      </c>
      <c r="O543" s="105">
        <v>0</v>
      </c>
      <c r="P543" s="105">
        <v>0</v>
      </c>
      <c r="Q543" s="105">
        <v>0</v>
      </c>
      <c r="R543" s="105">
        <v>0</v>
      </c>
      <c r="S543" s="105">
        <f>+Tabla1[[#This Row],[Neto]]*3.6%</f>
        <v>38518.228080000008</v>
      </c>
      <c r="T543" s="105">
        <v>0</v>
      </c>
      <c r="U543" s="105">
        <f>+SUM(Tabla1[[#This Row],[IVA 21%]:[IVA 27%]])</f>
        <v>224689.66380000001</v>
      </c>
      <c r="V543" s="10">
        <f>+SUM(Tabla1[[#This Row],[Neto]:[Impuestos Internos / Otros Tributos]])</f>
        <v>1333158.67188</v>
      </c>
      <c r="W543" s="10">
        <f>+Tabla1[[#This Row],[Total]]</f>
        <v>1333158.67188</v>
      </c>
      <c r="X543" s="10"/>
      <c r="Y543" s="49" t="s">
        <v>325</v>
      </c>
      <c r="Z543" s="109">
        <v>45630</v>
      </c>
      <c r="AA543" s="109"/>
    </row>
    <row r="544" spans="1:36" hidden="1" x14ac:dyDescent="0.3">
      <c r="A544" s="250" t="s">
        <v>966</v>
      </c>
      <c r="B544" s="251">
        <v>45635</v>
      </c>
      <c r="C544" s="12" t="s">
        <v>26</v>
      </c>
      <c r="D544" s="250" t="s">
        <v>58</v>
      </c>
      <c r="E544" s="9" t="s">
        <v>37</v>
      </c>
      <c r="F544" s="9" t="s">
        <v>987</v>
      </c>
      <c r="G544" s="252" t="s">
        <v>988</v>
      </c>
      <c r="H544" s="252">
        <v>23225539049</v>
      </c>
      <c r="I544" s="252" t="s">
        <v>989</v>
      </c>
      <c r="J544" s="8" t="s">
        <v>381</v>
      </c>
      <c r="K544" s="173">
        <v>1</v>
      </c>
      <c r="L544" s="253">
        <v>532904.22</v>
      </c>
      <c r="M544" s="253">
        <v>0</v>
      </c>
      <c r="N544" s="253">
        <v>0</v>
      </c>
      <c r="O544" s="253">
        <v>0</v>
      </c>
      <c r="P544" s="253">
        <v>0</v>
      </c>
      <c r="Q544" s="253">
        <v>0</v>
      </c>
      <c r="R544" s="253">
        <v>0</v>
      </c>
      <c r="S544" s="253">
        <v>0</v>
      </c>
      <c r="T544" s="253">
        <v>0</v>
      </c>
      <c r="U544" s="253">
        <v>0</v>
      </c>
      <c r="V544" s="10">
        <f>+SUM(Tabla1[[#This Row],[Neto]:[Impuestos Internos / Otros Tributos]])</f>
        <v>532904.22</v>
      </c>
      <c r="W544" s="10">
        <f>+Tabla1[[#This Row],[Total]]-Tabla1[[#This Row],[SICORE]]</f>
        <v>526726.13559999992</v>
      </c>
      <c r="X544" s="253">
        <v>6178.0843999999997</v>
      </c>
      <c r="Y544" s="254" t="s">
        <v>324</v>
      </c>
      <c r="Z544" s="109">
        <v>45635</v>
      </c>
      <c r="AA544" s="255">
        <v>45636</v>
      </c>
      <c r="AB544" s="253">
        <f>+Tabla1[[#This Row],[Total a Pagar]]</f>
        <v>526726.13559999992</v>
      </c>
      <c r="AC544" s="252"/>
      <c r="AD544" s="252"/>
      <c r="AE544" s="252"/>
      <c r="AF544" s="252"/>
      <c r="AG544" s="252"/>
      <c r="AH544" s="253">
        <v>0</v>
      </c>
      <c r="AI544" s="252"/>
      <c r="AJ544" s="252"/>
    </row>
    <row r="545" spans="1:27" x14ac:dyDescent="0.3">
      <c r="A545" s="8" t="s">
        <v>966</v>
      </c>
      <c r="B545" s="53">
        <v>45635</v>
      </c>
      <c r="C545" s="118" t="s">
        <v>26</v>
      </c>
      <c r="D545" s="102" t="s">
        <v>58</v>
      </c>
      <c r="E545" s="121" t="s">
        <v>32</v>
      </c>
      <c r="F545" s="9" t="s">
        <v>990</v>
      </c>
      <c r="G545" s="104" t="s">
        <v>146</v>
      </c>
      <c r="H545" s="104">
        <v>33716385359</v>
      </c>
      <c r="I545" s="104" t="s">
        <v>142</v>
      </c>
      <c r="J545" s="102" t="s">
        <v>381</v>
      </c>
      <c r="K545" s="173">
        <v>1</v>
      </c>
      <c r="L545" s="10">
        <v>339000</v>
      </c>
      <c r="M545" s="10">
        <f>+Tabla1[[#This Row],[Neto]]*21%</f>
        <v>71190</v>
      </c>
      <c r="N545" s="10">
        <v>0</v>
      </c>
      <c r="O545" s="10">
        <v>0</v>
      </c>
      <c r="P545" s="10">
        <v>0</v>
      </c>
      <c r="Q545" s="10">
        <v>0</v>
      </c>
      <c r="R545" s="10">
        <v>12204</v>
      </c>
      <c r="S545" s="10">
        <v>0</v>
      </c>
      <c r="T545" s="10">
        <v>0</v>
      </c>
      <c r="U545" s="10">
        <f>+SUM(Tabla1[[#This Row],[IVA 21%]:[IVA 27%]])</f>
        <v>71190</v>
      </c>
      <c r="V545" s="10">
        <f>+SUM(Tabla1[[#This Row],[Neto]:[Impuestos Internos / Otros Tributos]])</f>
        <v>422394</v>
      </c>
      <c r="W545" s="10">
        <f>+Tabla1[[#This Row],[Total]]</f>
        <v>422394</v>
      </c>
      <c r="X545" s="10"/>
      <c r="Y545" s="49" t="s">
        <v>325</v>
      </c>
      <c r="AA545" s="109"/>
    </row>
  </sheetData>
  <pageMargins left="0.7" right="0.7" top="0.75" bottom="0.75" header="0.3" footer="0.3"/>
  <pageSetup paperSize="9" orientation="portrait" r:id="rId1"/>
  <ignoredErrors>
    <ignoredError sqref="AB222" formula="1"/>
  </ignoredErrors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9"/>
  <sheetViews>
    <sheetView workbookViewId="0">
      <selection activeCell="C28" sqref="C28"/>
    </sheetView>
  </sheetViews>
  <sheetFormatPr baseColWidth="10" defaultRowHeight="14.4" x14ac:dyDescent="0.3"/>
  <cols>
    <col min="3" max="3" width="13.6640625" customWidth="1"/>
    <col min="8" max="8" width="12" bestFit="1" customWidth="1"/>
    <col min="9" max="9" width="19.33203125" bestFit="1" customWidth="1"/>
    <col min="13" max="13" width="12.5546875" bestFit="1" customWidth="1"/>
    <col min="15" max="15" width="17.6640625" customWidth="1"/>
  </cols>
  <sheetData>
    <row r="2" spans="1:16" ht="31.2" customHeight="1" thickBot="1" x14ac:dyDescent="0.35">
      <c r="A2" s="162" t="s">
        <v>2</v>
      </c>
      <c r="B2" s="163" t="s">
        <v>3</v>
      </c>
      <c r="C2" s="164" t="s">
        <v>204</v>
      </c>
      <c r="D2" s="164" t="s">
        <v>4</v>
      </c>
      <c r="E2" s="164" t="s">
        <v>205</v>
      </c>
      <c r="F2" s="164" t="s">
        <v>500</v>
      </c>
      <c r="G2" s="164" t="s">
        <v>364</v>
      </c>
      <c r="H2" s="164" t="s">
        <v>6</v>
      </c>
      <c r="I2" s="164" t="s">
        <v>5</v>
      </c>
      <c r="J2" s="164" t="s">
        <v>380</v>
      </c>
      <c r="K2" s="164" t="s">
        <v>15</v>
      </c>
      <c r="L2" s="164" t="s">
        <v>16</v>
      </c>
      <c r="M2" s="164" t="s">
        <v>323</v>
      </c>
      <c r="N2" s="163" t="s">
        <v>335</v>
      </c>
      <c r="O2" s="163" t="s">
        <v>860</v>
      </c>
      <c r="P2" s="163" t="s">
        <v>858</v>
      </c>
    </row>
    <row r="3" spans="1:16" x14ac:dyDescent="0.3">
      <c r="A3" s="148" t="s">
        <v>856</v>
      </c>
      <c r="B3" s="138">
        <v>45472</v>
      </c>
      <c r="C3" s="139" t="s">
        <v>26</v>
      </c>
      <c r="D3" s="139" t="s">
        <v>58</v>
      </c>
      <c r="E3" s="139" t="s">
        <v>151</v>
      </c>
      <c r="F3" s="139" t="s">
        <v>857</v>
      </c>
      <c r="G3" s="140" t="s">
        <v>360</v>
      </c>
      <c r="H3" s="140">
        <v>30716939762</v>
      </c>
      <c r="I3" s="139" t="s">
        <v>62</v>
      </c>
      <c r="J3" s="137" t="s">
        <v>381</v>
      </c>
      <c r="K3" s="141">
        <v>83112.479999999996</v>
      </c>
      <c r="L3" s="141">
        <v>0</v>
      </c>
      <c r="M3" s="141" t="s">
        <v>324</v>
      </c>
      <c r="N3" s="149">
        <v>45524</v>
      </c>
      <c r="O3" s="169">
        <v>0</v>
      </c>
      <c r="P3" s="169">
        <f>-K3+O3</f>
        <v>-83112.479999999996</v>
      </c>
    </row>
    <row r="4" spans="1:16" x14ac:dyDescent="0.3">
      <c r="A4" s="142" t="s">
        <v>318</v>
      </c>
      <c r="B4" s="143">
        <v>45507</v>
      </c>
      <c r="C4" s="144" t="s">
        <v>26</v>
      </c>
      <c r="D4" s="145" t="s">
        <v>58</v>
      </c>
      <c r="E4" s="165" t="s">
        <v>151</v>
      </c>
      <c r="F4" s="165" t="s">
        <v>610</v>
      </c>
      <c r="G4" s="146" t="s">
        <v>360</v>
      </c>
      <c r="H4" s="146">
        <v>30716939762</v>
      </c>
      <c r="I4" s="146" t="s">
        <v>62</v>
      </c>
      <c r="J4" s="145" t="s">
        <v>381</v>
      </c>
      <c r="K4" s="147">
        <v>74015.603199999998</v>
      </c>
      <c r="L4" s="147">
        <v>0</v>
      </c>
      <c r="M4" s="147" t="s">
        <v>324</v>
      </c>
      <c r="N4" s="150">
        <v>45588</v>
      </c>
      <c r="O4" s="168">
        <v>157128</v>
      </c>
      <c r="P4" s="168">
        <f>+P3-K4+O4</f>
        <v>-8.3199999993667006E-2</v>
      </c>
    </row>
    <row r="5" spans="1:16" x14ac:dyDescent="0.3">
      <c r="A5" s="148" t="s">
        <v>318</v>
      </c>
      <c r="B5" s="138">
        <v>45524</v>
      </c>
      <c r="C5" s="139" t="s">
        <v>26</v>
      </c>
      <c r="D5" s="137" t="s">
        <v>58</v>
      </c>
      <c r="E5" s="166" t="s">
        <v>151</v>
      </c>
      <c r="F5" s="166" t="s">
        <v>611</v>
      </c>
      <c r="G5" s="140" t="s">
        <v>360</v>
      </c>
      <c r="H5" s="140">
        <v>30716939762</v>
      </c>
      <c r="I5" s="140" t="s">
        <v>62</v>
      </c>
      <c r="J5" s="137" t="s">
        <v>381</v>
      </c>
      <c r="K5" s="141">
        <v>72658.080000000002</v>
      </c>
      <c r="L5" s="141">
        <v>0</v>
      </c>
      <c r="M5" s="141" t="s">
        <v>324</v>
      </c>
      <c r="N5" s="149">
        <v>45588</v>
      </c>
      <c r="O5" s="169">
        <v>0</v>
      </c>
      <c r="P5" s="169">
        <f>+P4-K5+O5</f>
        <v>-72658.163199999995</v>
      </c>
    </row>
    <row r="6" spans="1:16" x14ac:dyDescent="0.3">
      <c r="A6" s="142" t="s">
        <v>25</v>
      </c>
      <c r="B6" s="143">
        <v>45554</v>
      </c>
      <c r="C6" s="144" t="s">
        <v>26</v>
      </c>
      <c r="D6" s="145" t="s">
        <v>58</v>
      </c>
      <c r="E6" s="165" t="s">
        <v>151</v>
      </c>
      <c r="F6" s="165" t="s">
        <v>359</v>
      </c>
      <c r="G6" s="146" t="s">
        <v>360</v>
      </c>
      <c r="H6" s="146">
        <v>30716939762</v>
      </c>
      <c r="I6" s="146" t="s">
        <v>62</v>
      </c>
      <c r="J6" s="145" t="s">
        <v>381</v>
      </c>
      <c r="K6" s="147">
        <v>108987.12</v>
      </c>
      <c r="L6" s="147">
        <v>0</v>
      </c>
      <c r="M6" s="147" t="s">
        <v>324</v>
      </c>
      <c r="N6" s="150">
        <v>45588</v>
      </c>
      <c r="O6" s="168">
        <v>255660.79999999999</v>
      </c>
      <c r="P6" s="168">
        <f>+P5-K6+O6</f>
        <v>74015.516799999983</v>
      </c>
    </row>
    <row r="7" spans="1:16" ht="15" thickBot="1" x14ac:dyDescent="0.35">
      <c r="A7" s="154" t="s">
        <v>337</v>
      </c>
      <c r="B7" s="155">
        <v>45589</v>
      </c>
      <c r="C7" s="156" t="s">
        <v>26</v>
      </c>
      <c r="D7" s="157" t="s">
        <v>58</v>
      </c>
      <c r="E7" s="167" t="s">
        <v>151</v>
      </c>
      <c r="F7" s="167" t="s">
        <v>618</v>
      </c>
      <c r="G7" s="153" t="s">
        <v>360</v>
      </c>
      <c r="H7" s="153">
        <v>30716939762</v>
      </c>
      <c r="I7" s="153" t="s">
        <v>62</v>
      </c>
      <c r="J7" s="157" t="s">
        <v>381</v>
      </c>
      <c r="K7" s="151">
        <v>108987.12</v>
      </c>
      <c r="L7" s="151">
        <v>0</v>
      </c>
      <c r="M7" s="158" t="s">
        <v>325</v>
      </c>
      <c r="N7" s="152"/>
      <c r="O7" s="169">
        <v>0</v>
      </c>
      <c r="P7" s="169">
        <f>+P6-K7+O7</f>
        <v>-34971.603200000012</v>
      </c>
    </row>
    <row r="8" spans="1:16" ht="15" thickBot="1" x14ac:dyDescent="0.35">
      <c r="O8" s="171" t="s">
        <v>859</v>
      </c>
      <c r="P8" s="172">
        <f>+P7</f>
        <v>-34971.603200000012</v>
      </c>
    </row>
    <row r="9" spans="1:16" x14ac:dyDescent="0.3">
      <c r="K9" s="170"/>
    </row>
  </sheetData>
  <autoFilter ref="A2:P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G207"/>
  <sheetViews>
    <sheetView topLeftCell="A190" workbookViewId="0">
      <selection activeCell="G71" sqref="G71"/>
    </sheetView>
  </sheetViews>
  <sheetFormatPr baseColWidth="10" defaultRowHeight="14.4" x14ac:dyDescent="0.3"/>
  <cols>
    <col min="1" max="1" width="11.5546875" style="127"/>
    <col min="2" max="2" width="11.5546875" style="128"/>
    <col min="3" max="3" width="14.109375" style="127" customWidth="1"/>
    <col min="4" max="4" width="11.5546875" style="127"/>
    <col min="5" max="5" width="15.33203125" style="127" customWidth="1"/>
    <col min="6" max="6" width="23.6640625" style="127" customWidth="1"/>
    <col min="7" max="7" width="35.6640625" bestFit="1" customWidth="1"/>
    <col min="8" max="8" width="12" bestFit="1" customWidth="1"/>
    <col min="9" max="9" width="56.33203125" bestFit="1" customWidth="1"/>
    <col min="10" max="10" width="11.5546875" style="127"/>
    <col min="11" max="11" width="12.88671875" style="123" bestFit="1" customWidth="1"/>
    <col min="12" max="12" width="11.6640625" style="123" bestFit="1" customWidth="1"/>
    <col min="13" max="13" width="11.88671875" style="123" customWidth="1"/>
    <col min="14" max="14" width="11.6640625" style="123" bestFit="1" customWidth="1"/>
    <col min="15" max="15" width="13.5546875" style="123" customWidth="1"/>
    <col min="16" max="16" width="12.88671875" style="123" bestFit="1" customWidth="1"/>
    <col min="17" max="17" width="18.88671875" style="123" customWidth="1"/>
    <col min="18" max="18" width="25.33203125" style="123" customWidth="1"/>
    <col min="19" max="19" width="32.6640625" style="123" customWidth="1"/>
    <col min="20" max="20" width="14.6640625" style="123" customWidth="1"/>
    <col min="21" max="21" width="12.88671875" style="123" bestFit="1" customWidth="1"/>
    <col min="22" max="22" width="14.44140625" style="123" customWidth="1"/>
    <col min="23" max="23" width="11.44140625" style="123" customWidth="1"/>
    <col min="24" max="24" width="13.6640625" style="123" bestFit="1" customWidth="1"/>
    <col min="25" max="25" width="14.5546875" style="122" customWidth="1"/>
    <col min="26" max="26" width="17.33203125" style="123" customWidth="1"/>
    <col min="27" max="27" width="21.109375" style="123" customWidth="1"/>
    <col min="28" max="28" width="20.5546875" style="123" customWidth="1"/>
    <col min="29" max="29" width="19.33203125" style="123" customWidth="1"/>
    <col min="30" max="30" width="23.6640625" style="123" customWidth="1"/>
    <col min="31" max="32" width="11.5546875" style="123"/>
    <col min="33" max="33" width="17.6640625" style="123" customWidth="1"/>
  </cols>
  <sheetData>
    <row r="1" spans="1:33" x14ac:dyDescent="0.3">
      <c r="A1" s="130" t="s">
        <v>817</v>
      </c>
    </row>
    <row r="2" spans="1:33" x14ac:dyDescent="0.3">
      <c r="A2" s="129"/>
    </row>
    <row r="3" spans="1:33" x14ac:dyDescent="0.3">
      <c r="A3" s="124" t="s">
        <v>2</v>
      </c>
      <c r="B3" s="125" t="s">
        <v>3</v>
      </c>
      <c r="C3" s="124" t="s">
        <v>204</v>
      </c>
      <c r="D3" s="124" t="s">
        <v>4</v>
      </c>
      <c r="E3" s="124" t="s">
        <v>205</v>
      </c>
      <c r="F3" s="124" t="s">
        <v>500</v>
      </c>
      <c r="G3" s="124" t="s">
        <v>364</v>
      </c>
      <c r="H3" s="124" t="s">
        <v>6</v>
      </c>
      <c r="I3" s="124" t="s">
        <v>5</v>
      </c>
      <c r="J3" s="124" t="s">
        <v>380</v>
      </c>
      <c r="K3" s="126" t="s">
        <v>7</v>
      </c>
      <c r="L3" s="126" t="s">
        <v>8</v>
      </c>
      <c r="M3" s="126" t="s">
        <v>9</v>
      </c>
      <c r="N3" s="126" t="s">
        <v>10</v>
      </c>
      <c r="O3" s="126" t="s">
        <v>206</v>
      </c>
      <c r="P3" s="126" t="s">
        <v>501</v>
      </c>
      <c r="Q3" s="126" t="s">
        <v>11</v>
      </c>
      <c r="R3" s="126" t="s">
        <v>12</v>
      </c>
      <c r="S3" s="126" t="s">
        <v>13</v>
      </c>
      <c r="T3" s="126" t="s">
        <v>207</v>
      </c>
      <c r="U3" s="126" t="s">
        <v>14</v>
      </c>
      <c r="V3" s="126" t="s">
        <v>15</v>
      </c>
      <c r="W3" s="126" t="s">
        <v>16</v>
      </c>
      <c r="X3" s="126" t="s">
        <v>323</v>
      </c>
      <c r="Y3" s="125" t="s">
        <v>335</v>
      </c>
      <c r="Z3" s="126" t="s">
        <v>17</v>
      </c>
      <c r="AA3" s="126" t="s">
        <v>18</v>
      </c>
      <c r="AB3" s="126" t="s">
        <v>19</v>
      </c>
      <c r="AC3" s="126" t="s">
        <v>20</v>
      </c>
      <c r="AD3" s="126" t="s">
        <v>21</v>
      </c>
      <c r="AE3" s="126" t="s">
        <v>22</v>
      </c>
      <c r="AF3" s="126" t="s">
        <v>23</v>
      </c>
      <c r="AG3" s="126" t="s">
        <v>24</v>
      </c>
    </row>
    <row r="4" spans="1:33" x14ac:dyDescent="0.3">
      <c r="A4" s="127" t="s">
        <v>337</v>
      </c>
      <c r="B4" s="128">
        <v>45566</v>
      </c>
      <c r="C4" s="127" t="s">
        <v>26</v>
      </c>
      <c r="D4" s="127" t="s">
        <v>58</v>
      </c>
      <c r="E4" s="127" t="s">
        <v>727</v>
      </c>
      <c r="F4" s="127" t="s">
        <v>728</v>
      </c>
      <c r="G4" t="s">
        <v>61</v>
      </c>
      <c r="H4">
        <v>30716375184</v>
      </c>
      <c r="I4" t="s">
        <v>62</v>
      </c>
      <c r="J4" s="127" t="s">
        <v>381</v>
      </c>
      <c r="K4" s="123">
        <v>8970.8700000000008</v>
      </c>
      <c r="L4" s="123">
        <v>1883.8827000000001</v>
      </c>
      <c r="M4" s="123">
        <v>0</v>
      </c>
      <c r="N4" s="123">
        <v>0</v>
      </c>
      <c r="O4" s="123">
        <v>0</v>
      </c>
      <c r="P4" s="123">
        <v>0</v>
      </c>
      <c r="Q4" s="123">
        <v>0</v>
      </c>
      <c r="R4" s="123">
        <v>0</v>
      </c>
      <c r="S4" s="123">
        <v>0</v>
      </c>
      <c r="T4" s="123">
        <v>1883.8827000000001</v>
      </c>
      <c r="U4" s="123">
        <v>10854.752700000001</v>
      </c>
      <c r="V4" s="123">
        <v>10854.752700000001</v>
      </c>
      <c r="W4" s="123">
        <v>0</v>
      </c>
      <c r="X4" s="123" t="s">
        <v>324</v>
      </c>
      <c r="Y4" s="122">
        <v>45566</v>
      </c>
      <c r="Z4" s="123">
        <v>0</v>
      </c>
      <c r="AF4" s="123">
        <v>10854.752700000001</v>
      </c>
    </row>
    <row r="5" spans="1:33" x14ac:dyDescent="0.3">
      <c r="A5" s="127" t="s">
        <v>337</v>
      </c>
      <c r="B5" s="128">
        <v>45566</v>
      </c>
      <c r="C5" s="127" t="s">
        <v>26</v>
      </c>
      <c r="D5" s="127" t="s">
        <v>27</v>
      </c>
      <c r="E5" s="127" t="s">
        <v>37</v>
      </c>
      <c r="F5" s="127" t="s">
        <v>345</v>
      </c>
      <c r="G5" t="s">
        <v>320</v>
      </c>
      <c r="H5">
        <v>20222549788</v>
      </c>
      <c r="I5" t="s">
        <v>346</v>
      </c>
      <c r="J5" s="127" t="s">
        <v>381</v>
      </c>
      <c r="K5" s="123">
        <v>251779</v>
      </c>
      <c r="L5" s="123">
        <v>0</v>
      </c>
      <c r="M5" s="123">
        <v>0</v>
      </c>
      <c r="N5" s="123">
        <v>0</v>
      </c>
      <c r="O5" s="123">
        <v>0</v>
      </c>
      <c r="P5" s="123">
        <v>0</v>
      </c>
      <c r="Q5" s="123">
        <v>0</v>
      </c>
      <c r="R5" s="123">
        <v>0</v>
      </c>
      <c r="S5" s="123">
        <v>0</v>
      </c>
      <c r="T5" s="123">
        <v>0</v>
      </c>
      <c r="U5" s="123">
        <v>251779</v>
      </c>
      <c r="V5" s="123">
        <v>251779</v>
      </c>
      <c r="W5" s="123">
        <v>0</v>
      </c>
      <c r="X5" s="123" t="s">
        <v>324</v>
      </c>
      <c r="Y5" s="122">
        <v>45568</v>
      </c>
      <c r="Z5" s="123">
        <v>251779</v>
      </c>
      <c r="AF5" s="123">
        <v>0</v>
      </c>
    </row>
    <row r="6" spans="1:33" x14ac:dyDescent="0.3">
      <c r="A6" s="127" t="s">
        <v>337</v>
      </c>
      <c r="B6" s="128">
        <v>45566</v>
      </c>
      <c r="C6" s="127" t="s">
        <v>26</v>
      </c>
      <c r="D6" s="127" t="s">
        <v>27</v>
      </c>
      <c r="E6" s="127" t="s">
        <v>28</v>
      </c>
      <c r="F6" s="127" t="s">
        <v>253</v>
      </c>
      <c r="G6" t="s">
        <v>366</v>
      </c>
      <c r="H6">
        <v>20283782280</v>
      </c>
      <c r="I6" t="s">
        <v>416</v>
      </c>
      <c r="J6" s="127" t="s">
        <v>381</v>
      </c>
      <c r="K6" s="123">
        <v>285000</v>
      </c>
      <c r="L6" s="123">
        <v>0</v>
      </c>
      <c r="M6" s="123">
        <v>0</v>
      </c>
      <c r="N6" s="123">
        <v>0</v>
      </c>
      <c r="O6" s="123">
        <v>0</v>
      </c>
      <c r="P6" s="123">
        <v>0</v>
      </c>
      <c r="Q6" s="123">
        <v>0</v>
      </c>
      <c r="R6" s="123">
        <v>0</v>
      </c>
      <c r="S6" s="123">
        <v>0</v>
      </c>
      <c r="T6" s="123">
        <v>0</v>
      </c>
      <c r="U6" s="123">
        <v>285000</v>
      </c>
      <c r="V6" s="123">
        <v>285000</v>
      </c>
      <c r="W6" s="123">
        <v>0</v>
      </c>
      <c r="X6" s="123" t="s">
        <v>324</v>
      </c>
      <c r="Y6" s="122">
        <v>45573</v>
      </c>
      <c r="Z6" s="123">
        <v>285000</v>
      </c>
      <c r="AF6" s="123">
        <v>0</v>
      </c>
    </row>
    <row r="7" spans="1:33" x14ac:dyDescent="0.3">
      <c r="A7" s="127" t="s">
        <v>337</v>
      </c>
      <c r="B7" s="128">
        <v>45566</v>
      </c>
      <c r="C7" s="127" t="s">
        <v>26</v>
      </c>
      <c r="D7" s="127" t="s">
        <v>70</v>
      </c>
      <c r="E7" s="127" t="s">
        <v>733</v>
      </c>
      <c r="F7" s="127" t="s">
        <v>734</v>
      </c>
      <c r="G7" t="s">
        <v>735</v>
      </c>
      <c r="H7">
        <v>30590360763</v>
      </c>
      <c r="I7" t="s">
        <v>62</v>
      </c>
      <c r="J7" s="127" t="s">
        <v>381</v>
      </c>
      <c r="K7" s="123">
        <v>4000</v>
      </c>
      <c r="L7" s="123">
        <v>0</v>
      </c>
      <c r="M7" s="123">
        <v>0</v>
      </c>
      <c r="N7" s="123">
        <v>0</v>
      </c>
      <c r="O7" s="123">
        <v>0</v>
      </c>
      <c r="P7" s="123">
        <v>0</v>
      </c>
      <c r="Q7" s="123">
        <v>0</v>
      </c>
      <c r="R7" s="123">
        <v>0</v>
      </c>
      <c r="S7" s="123">
        <v>0</v>
      </c>
      <c r="T7" s="123">
        <v>0</v>
      </c>
      <c r="U7" s="123">
        <v>4000</v>
      </c>
      <c r="V7" s="123">
        <v>4000</v>
      </c>
      <c r="W7" s="123">
        <v>0</v>
      </c>
      <c r="X7" s="123" t="s">
        <v>324</v>
      </c>
      <c r="Y7" s="122">
        <v>45566</v>
      </c>
      <c r="Z7" s="123">
        <v>0</v>
      </c>
      <c r="AF7" s="123">
        <v>4000</v>
      </c>
    </row>
    <row r="8" spans="1:33" x14ac:dyDescent="0.3">
      <c r="A8" s="127" t="s">
        <v>337</v>
      </c>
      <c r="B8" s="128">
        <v>45566</v>
      </c>
      <c r="C8" s="127" t="s">
        <v>26</v>
      </c>
      <c r="D8" s="127" t="s">
        <v>58</v>
      </c>
      <c r="E8" s="127" t="s">
        <v>340</v>
      </c>
      <c r="F8" s="127" t="s">
        <v>341</v>
      </c>
      <c r="G8" t="s">
        <v>342</v>
      </c>
      <c r="H8">
        <v>30681330301</v>
      </c>
      <c r="I8" t="s">
        <v>438</v>
      </c>
      <c r="J8" s="127" t="s">
        <v>381</v>
      </c>
      <c r="K8" s="123">
        <v>53876.72</v>
      </c>
      <c r="L8" s="123">
        <v>11314.111199999999</v>
      </c>
      <c r="M8" s="123">
        <v>0</v>
      </c>
      <c r="N8" s="123">
        <v>0</v>
      </c>
      <c r="O8" s="123">
        <v>0</v>
      </c>
      <c r="P8" s="123">
        <v>0</v>
      </c>
      <c r="Q8" s="123">
        <v>0</v>
      </c>
      <c r="R8" s="123">
        <v>0</v>
      </c>
      <c r="S8" s="123">
        <v>0</v>
      </c>
      <c r="T8" s="123">
        <v>11314.111199999999</v>
      </c>
      <c r="U8" s="123">
        <v>65190.831200000001</v>
      </c>
      <c r="V8" s="123">
        <v>65190.831200000001</v>
      </c>
      <c r="W8" s="123">
        <v>0</v>
      </c>
      <c r="X8" s="123" t="s">
        <v>324</v>
      </c>
      <c r="Y8" s="122">
        <v>45573</v>
      </c>
      <c r="Z8" s="123">
        <v>65190.831200000001</v>
      </c>
      <c r="AF8" s="123">
        <v>0</v>
      </c>
    </row>
    <row r="9" spans="1:33" x14ac:dyDescent="0.3">
      <c r="A9" s="127" t="s">
        <v>337</v>
      </c>
      <c r="B9" s="128">
        <v>45566</v>
      </c>
      <c r="C9" s="127" t="s">
        <v>26</v>
      </c>
      <c r="D9" s="127" t="s">
        <v>58</v>
      </c>
      <c r="E9" s="127" t="s">
        <v>74</v>
      </c>
      <c r="F9" s="127" t="s">
        <v>736</v>
      </c>
      <c r="G9" t="s">
        <v>737</v>
      </c>
      <c r="H9">
        <v>20138454860</v>
      </c>
      <c r="I9" t="s">
        <v>738</v>
      </c>
      <c r="J9" s="127" t="s">
        <v>381</v>
      </c>
      <c r="K9" s="123">
        <v>3966.94</v>
      </c>
      <c r="L9" s="123">
        <v>833.05740000000003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833.05740000000003</v>
      </c>
      <c r="U9" s="123">
        <v>4799.9974000000002</v>
      </c>
      <c r="V9" s="123">
        <v>4799.9974000000002</v>
      </c>
      <c r="W9" s="123">
        <v>0</v>
      </c>
      <c r="X9" s="123" t="s">
        <v>324</v>
      </c>
      <c r="Y9" s="122">
        <v>45566</v>
      </c>
      <c r="Z9" s="123">
        <v>0</v>
      </c>
      <c r="AF9" s="123">
        <v>4799.9974000000002</v>
      </c>
    </row>
    <row r="10" spans="1:33" x14ac:dyDescent="0.3">
      <c r="A10" s="127" t="s">
        <v>337</v>
      </c>
      <c r="B10" s="128">
        <v>45566</v>
      </c>
      <c r="C10" s="127" t="s">
        <v>434</v>
      </c>
      <c r="D10" s="127" t="s">
        <v>403</v>
      </c>
      <c r="E10" s="127" t="s">
        <v>28</v>
      </c>
      <c r="F10" s="127" t="s">
        <v>744</v>
      </c>
      <c r="G10" t="s">
        <v>406</v>
      </c>
      <c r="H10">
        <v>30111111111</v>
      </c>
      <c r="I10" t="s">
        <v>405</v>
      </c>
      <c r="J10" s="127" t="s">
        <v>381</v>
      </c>
      <c r="K10" s="123">
        <v>20000</v>
      </c>
      <c r="L10" s="123">
        <v>0</v>
      </c>
      <c r="M10" s="123">
        <v>0</v>
      </c>
      <c r="N10" s="123">
        <v>0</v>
      </c>
      <c r="O10" s="123">
        <v>0</v>
      </c>
      <c r="P10" s="123">
        <v>0</v>
      </c>
      <c r="Q10" s="123">
        <v>0</v>
      </c>
      <c r="R10" s="123">
        <v>0</v>
      </c>
      <c r="S10" s="123">
        <v>0</v>
      </c>
      <c r="T10" s="123">
        <v>0</v>
      </c>
      <c r="U10" s="123">
        <v>20000</v>
      </c>
      <c r="V10" s="123">
        <v>20000</v>
      </c>
      <c r="W10" s="123">
        <v>0</v>
      </c>
      <c r="X10" s="123" t="s">
        <v>324</v>
      </c>
      <c r="Y10" s="122">
        <v>45566</v>
      </c>
      <c r="Z10" s="123">
        <v>0</v>
      </c>
      <c r="AF10" s="123">
        <v>20000</v>
      </c>
    </row>
    <row r="11" spans="1:33" x14ac:dyDescent="0.3">
      <c r="A11" s="127" t="s">
        <v>337</v>
      </c>
      <c r="B11" s="128">
        <v>45566</v>
      </c>
      <c r="C11" s="127" t="s">
        <v>410</v>
      </c>
      <c r="D11" s="127" t="s">
        <v>58</v>
      </c>
      <c r="E11" s="127" t="s">
        <v>74</v>
      </c>
      <c r="F11" s="127" t="s">
        <v>426</v>
      </c>
      <c r="G11" t="s">
        <v>427</v>
      </c>
      <c r="H11">
        <v>30580639034</v>
      </c>
      <c r="I11" t="s">
        <v>428</v>
      </c>
      <c r="J11" s="127" t="s">
        <v>381</v>
      </c>
      <c r="K11" s="123">
        <v>65379.77</v>
      </c>
      <c r="L11" s="123">
        <v>13729.751699999999</v>
      </c>
      <c r="M11" s="123">
        <v>0</v>
      </c>
      <c r="N11" s="123">
        <v>0</v>
      </c>
      <c r="O11" s="123">
        <v>0</v>
      </c>
      <c r="P11" s="123">
        <v>0</v>
      </c>
      <c r="Q11" s="123">
        <v>0</v>
      </c>
      <c r="R11" s="123">
        <v>0</v>
      </c>
      <c r="S11" s="123">
        <v>0</v>
      </c>
      <c r="T11" s="123">
        <v>13729.751699999999</v>
      </c>
      <c r="U11" s="123">
        <v>79109.521699999998</v>
      </c>
      <c r="V11" s="123">
        <v>79109.521699999998</v>
      </c>
      <c r="W11" s="123">
        <v>0</v>
      </c>
      <c r="X11" s="123" t="s">
        <v>325</v>
      </c>
    </row>
    <row r="12" spans="1:33" x14ac:dyDescent="0.3">
      <c r="A12" s="127" t="s">
        <v>337</v>
      </c>
      <c r="B12" s="128">
        <v>45566</v>
      </c>
      <c r="C12" s="127" t="s">
        <v>410</v>
      </c>
      <c r="D12" s="127" t="s">
        <v>58</v>
      </c>
      <c r="E12" s="127" t="s">
        <v>74</v>
      </c>
      <c r="F12" s="127" t="s">
        <v>795</v>
      </c>
      <c r="G12" t="s">
        <v>427</v>
      </c>
      <c r="H12">
        <v>30580639034</v>
      </c>
      <c r="I12" t="s">
        <v>428</v>
      </c>
      <c r="J12" s="127" t="s">
        <v>381</v>
      </c>
      <c r="K12" s="123">
        <v>97252.4</v>
      </c>
      <c r="L12" s="123">
        <v>20423.003999999997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3">
        <v>0</v>
      </c>
      <c r="S12" s="123">
        <v>0</v>
      </c>
      <c r="T12" s="123">
        <v>20423.003999999997</v>
      </c>
      <c r="U12" s="123">
        <v>117675.40399999999</v>
      </c>
      <c r="V12" s="123">
        <v>117675.40399999999</v>
      </c>
      <c r="W12" s="123">
        <v>0</v>
      </c>
      <c r="X12" s="123" t="s">
        <v>325</v>
      </c>
    </row>
    <row r="13" spans="1:33" x14ac:dyDescent="0.3">
      <c r="A13" s="127" t="s">
        <v>337</v>
      </c>
      <c r="B13" s="128">
        <v>45566</v>
      </c>
      <c r="C13" s="127" t="s">
        <v>26</v>
      </c>
      <c r="D13" s="127" t="s">
        <v>58</v>
      </c>
      <c r="E13" s="127" t="s">
        <v>111</v>
      </c>
      <c r="F13" s="127" t="s">
        <v>741</v>
      </c>
      <c r="G13" t="s">
        <v>95</v>
      </c>
      <c r="H13">
        <v>30583516790</v>
      </c>
      <c r="I13" t="s">
        <v>96</v>
      </c>
      <c r="J13" s="127" t="s">
        <v>381</v>
      </c>
      <c r="K13" s="123">
        <v>3430.85</v>
      </c>
      <c r="L13" s="123">
        <v>720.47849999999994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0</v>
      </c>
      <c r="T13" s="123">
        <v>720.47849999999994</v>
      </c>
      <c r="U13" s="123">
        <v>4151.3284999999996</v>
      </c>
      <c r="V13" s="123">
        <v>4151.3284999999996</v>
      </c>
      <c r="W13" s="123">
        <v>0</v>
      </c>
      <c r="X13" s="123" t="s">
        <v>324</v>
      </c>
      <c r="Y13" s="122">
        <v>45566</v>
      </c>
      <c r="Z13" s="123">
        <v>0</v>
      </c>
      <c r="AF13" s="123">
        <v>4151.3284999999996</v>
      </c>
    </row>
    <row r="14" spans="1:33" x14ac:dyDescent="0.3">
      <c r="A14" s="127" t="s">
        <v>337</v>
      </c>
      <c r="B14" s="128">
        <v>45566</v>
      </c>
      <c r="C14" s="127" t="s">
        <v>641</v>
      </c>
      <c r="G14" t="s">
        <v>787</v>
      </c>
      <c r="I14" t="s">
        <v>790</v>
      </c>
      <c r="J14" s="127" t="s">
        <v>381</v>
      </c>
      <c r="K14" s="123">
        <v>800000</v>
      </c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0</v>
      </c>
      <c r="S14" s="123">
        <v>0</v>
      </c>
      <c r="T14" s="123">
        <v>0</v>
      </c>
      <c r="U14" s="123">
        <v>800000</v>
      </c>
      <c r="V14" s="123">
        <v>800000</v>
      </c>
      <c r="W14" s="123">
        <v>0</v>
      </c>
      <c r="X14" s="123" t="s">
        <v>325</v>
      </c>
    </row>
    <row r="15" spans="1:33" x14ac:dyDescent="0.3">
      <c r="A15" s="127" t="s">
        <v>337</v>
      </c>
      <c r="B15" s="128">
        <v>45566</v>
      </c>
      <c r="C15" s="127" t="s">
        <v>26</v>
      </c>
      <c r="D15" s="127" t="s">
        <v>58</v>
      </c>
      <c r="E15" s="127" t="s">
        <v>37</v>
      </c>
      <c r="F15" s="127" t="s">
        <v>343</v>
      </c>
      <c r="G15" t="s">
        <v>155</v>
      </c>
      <c r="H15">
        <v>30715721461</v>
      </c>
      <c r="I15" t="s">
        <v>344</v>
      </c>
      <c r="J15" s="127" t="s">
        <v>381</v>
      </c>
      <c r="K15" s="123">
        <v>51000</v>
      </c>
      <c r="L15" s="123">
        <v>10710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0</v>
      </c>
      <c r="T15" s="123">
        <v>10710</v>
      </c>
      <c r="U15" s="123">
        <v>61710</v>
      </c>
      <c r="V15" s="123">
        <v>61710</v>
      </c>
      <c r="W15" s="123">
        <v>0</v>
      </c>
      <c r="X15" s="123" t="s">
        <v>324</v>
      </c>
      <c r="Y15" s="122">
        <v>45570</v>
      </c>
      <c r="Z15" s="123">
        <v>61710</v>
      </c>
      <c r="AF15" s="123">
        <v>0</v>
      </c>
    </row>
    <row r="16" spans="1:33" x14ac:dyDescent="0.3">
      <c r="A16" s="127" t="s">
        <v>337</v>
      </c>
      <c r="B16" s="128">
        <v>45566</v>
      </c>
      <c r="C16" s="127" t="s">
        <v>26</v>
      </c>
      <c r="D16" s="127" t="s">
        <v>58</v>
      </c>
      <c r="E16" s="127" t="s">
        <v>151</v>
      </c>
      <c r="F16" s="127" t="s">
        <v>361</v>
      </c>
      <c r="G16" t="s">
        <v>153</v>
      </c>
      <c r="H16">
        <v>20233929035</v>
      </c>
      <c r="I16" t="s">
        <v>87</v>
      </c>
      <c r="J16" s="127" t="s">
        <v>381</v>
      </c>
      <c r="K16" s="123">
        <v>341815.6</v>
      </c>
      <c r="L16" s="123">
        <v>71781.275999999998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0</v>
      </c>
      <c r="T16" s="123">
        <v>71781.275999999998</v>
      </c>
      <c r="U16" s="123">
        <v>413596.87599999999</v>
      </c>
      <c r="V16" s="123">
        <v>413596.87599999999</v>
      </c>
      <c r="X16" s="123" t="s">
        <v>325</v>
      </c>
    </row>
    <row r="17" spans="1:32" x14ac:dyDescent="0.3">
      <c r="A17" s="127" t="s">
        <v>337</v>
      </c>
      <c r="B17" s="128">
        <v>45566</v>
      </c>
      <c r="C17" s="127" t="s">
        <v>26</v>
      </c>
      <c r="D17" s="127" t="s">
        <v>58</v>
      </c>
      <c r="E17" s="127" t="s">
        <v>32</v>
      </c>
      <c r="F17" s="127" t="s">
        <v>338</v>
      </c>
      <c r="G17" t="s">
        <v>282</v>
      </c>
      <c r="H17">
        <v>30714721301</v>
      </c>
      <c r="I17" t="s">
        <v>339</v>
      </c>
      <c r="J17" s="127" t="s">
        <v>381</v>
      </c>
      <c r="K17" s="123">
        <v>1186499.1000000001</v>
      </c>
      <c r="L17" s="123">
        <v>249164.81100000002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3">
        <v>42713.967600000011</v>
      </c>
      <c r="S17" s="123">
        <v>0</v>
      </c>
      <c r="T17" s="123">
        <v>249164.81100000002</v>
      </c>
      <c r="U17" s="123">
        <v>1478377.8786000002</v>
      </c>
      <c r="V17" s="123">
        <v>1478377.8786000002</v>
      </c>
      <c r="X17" s="123" t="s">
        <v>325</v>
      </c>
    </row>
    <row r="18" spans="1:32" x14ac:dyDescent="0.3">
      <c r="A18" s="127" t="s">
        <v>337</v>
      </c>
      <c r="B18" s="128">
        <v>45566</v>
      </c>
      <c r="C18" s="127" t="s">
        <v>26</v>
      </c>
      <c r="D18" s="127" t="s">
        <v>58</v>
      </c>
      <c r="E18" s="127" t="s">
        <v>200</v>
      </c>
      <c r="F18" s="127" t="s">
        <v>725</v>
      </c>
      <c r="G18" t="s">
        <v>202</v>
      </c>
      <c r="H18">
        <v>33715472649</v>
      </c>
      <c r="I18" t="s">
        <v>726</v>
      </c>
      <c r="J18" s="127" t="s">
        <v>381</v>
      </c>
      <c r="K18" s="123">
        <v>6508.26</v>
      </c>
      <c r="L18" s="123">
        <v>1366.7346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234.29736000000003</v>
      </c>
      <c r="S18" s="123">
        <v>0</v>
      </c>
      <c r="T18" s="123">
        <v>1366.7346</v>
      </c>
      <c r="U18" s="123">
        <v>8109.2919600000005</v>
      </c>
      <c r="V18" s="123">
        <v>8109.2919600000005</v>
      </c>
      <c r="W18" s="123">
        <v>0</v>
      </c>
      <c r="X18" s="123" t="s">
        <v>324</v>
      </c>
      <c r="Y18" s="122">
        <v>45566</v>
      </c>
      <c r="Z18" s="123">
        <v>0</v>
      </c>
      <c r="AF18" s="123">
        <v>8109.2919600000005</v>
      </c>
    </row>
    <row r="19" spans="1:32" x14ac:dyDescent="0.3">
      <c r="A19" s="127" t="s">
        <v>337</v>
      </c>
      <c r="B19" s="128">
        <v>45566</v>
      </c>
      <c r="C19" s="127" t="s">
        <v>26</v>
      </c>
      <c r="D19" s="127" t="s">
        <v>27</v>
      </c>
      <c r="E19" s="127" t="s">
        <v>32</v>
      </c>
      <c r="F19" s="127" t="s">
        <v>739</v>
      </c>
      <c r="G19" t="s">
        <v>291</v>
      </c>
      <c r="H19">
        <v>20076367834</v>
      </c>
      <c r="I19" t="s">
        <v>292</v>
      </c>
      <c r="J19" s="127" t="s">
        <v>381</v>
      </c>
      <c r="K19" s="123">
        <v>52400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52400</v>
      </c>
      <c r="V19" s="123">
        <v>52400</v>
      </c>
      <c r="W19" s="123">
        <v>0</v>
      </c>
      <c r="X19" s="123" t="s">
        <v>324</v>
      </c>
      <c r="Y19" s="122">
        <v>45566</v>
      </c>
      <c r="Z19" s="123">
        <v>0</v>
      </c>
      <c r="AF19" s="123">
        <v>52400</v>
      </c>
    </row>
    <row r="20" spans="1:32" x14ac:dyDescent="0.3">
      <c r="A20" s="127" t="s">
        <v>337</v>
      </c>
      <c r="B20" s="128">
        <v>45566</v>
      </c>
      <c r="C20" s="127" t="s">
        <v>26</v>
      </c>
      <c r="D20" s="127" t="s">
        <v>58</v>
      </c>
      <c r="E20" s="127" t="s">
        <v>28</v>
      </c>
      <c r="F20" s="127" t="s">
        <v>691</v>
      </c>
      <c r="G20" t="s">
        <v>386</v>
      </c>
      <c r="H20">
        <v>30716190311</v>
      </c>
      <c r="I20" t="s">
        <v>692</v>
      </c>
      <c r="J20" s="127" t="s">
        <v>381</v>
      </c>
      <c r="K20" s="123">
        <v>1400000</v>
      </c>
      <c r="L20" s="123">
        <v>294000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0</v>
      </c>
      <c r="S20" s="123">
        <v>0</v>
      </c>
      <c r="T20" s="123">
        <v>294000</v>
      </c>
      <c r="U20" s="123">
        <v>1694000</v>
      </c>
      <c r="V20" s="123">
        <v>1694000</v>
      </c>
      <c r="W20" s="123">
        <v>0</v>
      </c>
      <c r="X20" s="123" t="s">
        <v>324</v>
      </c>
      <c r="Y20" s="122">
        <v>45593</v>
      </c>
      <c r="Z20" s="123">
        <v>1694000</v>
      </c>
      <c r="AF20" s="123">
        <v>0</v>
      </c>
    </row>
    <row r="21" spans="1:32" x14ac:dyDescent="0.3">
      <c r="A21" s="127" t="s">
        <v>337</v>
      </c>
      <c r="B21" s="128">
        <v>45567</v>
      </c>
      <c r="C21" s="127" t="s">
        <v>26</v>
      </c>
      <c r="D21" s="127" t="s">
        <v>58</v>
      </c>
      <c r="E21" s="127" t="s">
        <v>74</v>
      </c>
      <c r="F21" s="127" t="s">
        <v>703</v>
      </c>
      <c r="G21" t="s">
        <v>80</v>
      </c>
      <c r="H21">
        <v>20138455654</v>
      </c>
      <c r="I21" t="s">
        <v>81</v>
      </c>
      <c r="J21" s="127" t="s">
        <v>381</v>
      </c>
      <c r="K21" s="123">
        <v>5537.19</v>
      </c>
      <c r="L21" s="123">
        <v>1162.8099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0</v>
      </c>
      <c r="S21" s="123">
        <v>0</v>
      </c>
      <c r="T21" s="123">
        <v>1162.8099</v>
      </c>
      <c r="U21" s="123">
        <v>6699.9998999999998</v>
      </c>
      <c r="V21" s="123">
        <v>6700</v>
      </c>
      <c r="W21" s="123">
        <v>0</v>
      </c>
      <c r="X21" s="123" t="s">
        <v>324</v>
      </c>
      <c r="Y21" s="122">
        <v>45567</v>
      </c>
      <c r="Z21" s="123">
        <v>0</v>
      </c>
      <c r="AF21" s="123">
        <v>6700</v>
      </c>
    </row>
    <row r="22" spans="1:32" x14ac:dyDescent="0.3">
      <c r="A22" s="127" t="s">
        <v>337</v>
      </c>
      <c r="B22" s="128">
        <v>45567</v>
      </c>
      <c r="C22" s="127" t="s">
        <v>26</v>
      </c>
      <c r="D22" s="127" t="s">
        <v>27</v>
      </c>
      <c r="E22" s="127" t="s">
        <v>37</v>
      </c>
      <c r="F22" s="127" t="s">
        <v>740</v>
      </c>
      <c r="G22" t="s">
        <v>78</v>
      </c>
      <c r="H22">
        <v>20105424605</v>
      </c>
      <c r="I22" t="s">
        <v>277</v>
      </c>
      <c r="J22" s="127" t="s">
        <v>381</v>
      </c>
      <c r="K22" s="123">
        <v>15420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0</v>
      </c>
      <c r="S22" s="123">
        <v>0</v>
      </c>
      <c r="T22" s="123">
        <v>0</v>
      </c>
      <c r="U22" s="123">
        <v>15420</v>
      </c>
      <c r="V22" s="123">
        <v>15420</v>
      </c>
      <c r="W22" s="123">
        <v>0</v>
      </c>
      <c r="X22" s="123" t="s">
        <v>324</v>
      </c>
      <c r="Y22" s="122">
        <v>45567</v>
      </c>
      <c r="Z22" s="123">
        <v>0</v>
      </c>
      <c r="AF22" s="123">
        <v>15420</v>
      </c>
    </row>
    <row r="23" spans="1:32" x14ac:dyDescent="0.3">
      <c r="A23" s="127" t="s">
        <v>337</v>
      </c>
      <c r="B23" s="128">
        <v>45568</v>
      </c>
      <c r="C23" s="127" t="s">
        <v>26</v>
      </c>
      <c r="D23" s="127" t="s">
        <v>58</v>
      </c>
      <c r="E23" s="127" t="s">
        <v>399</v>
      </c>
      <c r="F23" s="127" t="s">
        <v>400</v>
      </c>
      <c r="G23" t="s">
        <v>61</v>
      </c>
      <c r="H23">
        <v>30716375184</v>
      </c>
      <c r="I23" t="s">
        <v>62</v>
      </c>
      <c r="J23" s="127" t="s">
        <v>381</v>
      </c>
      <c r="K23" s="123">
        <v>18512.32</v>
      </c>
      <c r="L23" s="123">
        <v>3887.5871999999999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0</v>
      </c>
      <c r="S23" s="123">
        <v>0</v>
      </c>
      <c r="T23" s="123">
        <v>3887.5871999999999</v>
      </c>
      <c r="U23" s="123">
        <v>22399.907200000001</v>
      </c>
      <c r="V23" s="123">
        <v>22399.907200000001</v>
      </c>
      <c r="W23" s="123">
        <v>0</v>
      </c>
      <c r="X23" s="123" t="s">
        <v>324</v>
      </c>
      <c r="Y23" s="122">
        <v>45568</v>
      </c>
      <c r="Z23" s="123">
        <v>0</v>
      </c>
      <c r="AF23" s="123">
        <v>22399.907200000001</v>
      </c>
    </row>
    <row r="24" spans="1:32" x14ac:dyDescent="0.3">
      <c r="A24" s="127" t="s">
        <v>337</v>
      </c>
      <c r="B24" s="128">
        <v>45568</v>
      </c>
      <c r="C24" s="127" t="s">
        <v>26</v>
      </c>
      <c r="D24" s="127" t="s">
        <v>58</v>
      </c>
      <c r="E24" s="127" t="s">
        <v>64</v>
      </c>
      <c r="F24" s="127" t="s">
        <v>398</v>
      </c>
      <c r="G24" t="s">
        <v>66</v>
      </c>
      <c r="H24">
        <v>30673770483</v>
      </c>
      <c r="I24" t="s">
        <v>62</v>
      </c>
      <c r="J24" s="127" t="s">
        <v>381</v>
      </c>
      <c r="K24" s="123">
        <v>38797.360000000001</v>
      </c>
      <c r="L24" s="123">
        <v>8147.4456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1396.7049600000003</v>
      </c>
      <c r="S24" s="123">
        <v>0</v>
      </c>
      <c r="T24" s="123">
        <v>8147.4456</v>
      </c>
      <c r="U24" s="123">
        <v>48341.510560000002</v>
      </c>
      <c r="V24" s="123">
        <v>48341.510560000002</v>
      </c>
      <c r="W24" s="123">
        <v>0</v>
      </c>
      <c r="X24" s="123" t="s">
        <v>324</v>
      </c>
      <c r="Y24" s="122">
        <v>45568</v>
      </c>
      <c r="Z24" s="123">
        <v>0</v>
      </c>
      <c r="AF24" s="123">
        <v>48341.510560000002</v>
      </c>
    </row>
    <row r="25" spans="1:32" x14ac:dyDescent="0.3">
      <c r="A25" s="127" t="s">
        <v>337</v>
      </c>
      <c r="B25" s="128">
        <v>45568</v>
      </c>
      <c r="C25" s="127" t="s">
        <v>26</v>
      </c>
      <c r="D25" s="127" t="s">
        <v>58</v>
      </c>
      <c r="E25" s="127" t="s">
        <v>266</v>
      </c>
      <c r="F25" s="127" t="s">
        <v>477</v>
      </c>
      <c r="G25" t="s">
        <v>268</v>
      </c>
      <c r="H25">
        <v>30690633635</v>
      </c>
      <c r="I25" t="s">
        <v>478</v>
      </c>
      <c r="J25" s="127" t="s">
        <v>381</v>
      </c>
      <c r="K25" s="123">
        <v>1858449.7</v>
      </c>
      <c r="L25" s="123">
        <v>0</v>
      </c>
      <c r="M25" s="123">
        <v>0</v>
      </c>
      <c r="N25" s="123">
        <v>492173.42</v>
      </c>
      <c r="O25" s="123">
        <v>0</v>
      </c>
      <c r="P25" s="123">
        <v>0</v>
      </c>
      <c r="Q25" s="123">
        <v>0</v>
      </c>
      <c r="R25" s="123">
        <v>0</v>
      </c>
      <c r="S25" s="123">
        <v>188657.65999999997</v>
      </c>
      <c r="T25" s="123">
        <v>492173.42</v>
      </c>
      <c r="U25" s="123">
        <v>2539280.7800000003</v>
      </c>
      <c r="V25" s="123">
        <v>2539280.7800000003</v>
      </c>
      <c r="W25" s="123">
        <v>0</v>
      </c>
      <c r="X25" s="123" t="s">
        <v>324</v>
      </c>
      <c r="Y25" s="122">
        <v>45579</v>
      </c>
      <c r="Z25" s="123">
        <v>2539280.7800000003</v>
      </c>
      <c r="AF25" s="123">
        <v>0</v>
      </c>
    </row>
    <row r="26" spans="1:32" x14ac:dyDescent="0.3">
      <c r="A26" s="127" t="s">
        <v>337</v>
      </c>
      <c r="B26" s="128">
        <v>45568</v>
      </c>
      <c r="C26" s="127" t="s">
        <v>26</v>
      </c>
      <c r="D26" s="127" t="s">
        <v>58</v>
      </c>
      <c r="E26" s="127" t="s">
        <v>32</v>
      </c>
      <c r="F26" s="127" t="s">
        <v>473</v>
      </c>
      <c r="G26" t="s">
        <v>146</v>
      </c>
      <c r="H26">
        <v>33716385359</v>
      </c>
      <c r="I26" t="s">
        <v>142</v>
      </c>
      <c r="J26" s="127" t="s">
        <v>381</v>
      </c>
      <c r="K26" s="123">
        <v>537250</v>
      </c>
      <c r="L26" s="123">
        <v>112822.5</v>
      </c>
      <c r="M26" s="123">
        <v>0</v>
      </c>
      <c r="N26" s="123">
        <v>0</v>
      </c>
      <c r="O26" s="123">
        <v>0</v>
      </c>
      <c r="P26" s="123">
        <v>834275</v>
      </c>
      <c r="Q26" s="123">
        <v>0</v>
      </c>
      <c r="R26" s="123">
        <v>49374.900000000009</v>
      </c>
      <c r="S26" s="123">
        <v>0</v>
      </c>
      <c r="T26" s="123">
        <v>112822.5</v>
      </c>
      <c r="U26" s="123">
        <v>1533722.4</v>
      </c>
      <c r="V26" s="123">
        <v>1533722.4</v>
      </c>
      <c r="X26" s="123" t="s">
        <v>325</v>
      </c>
    </row>
    <row r="27" spans="1:32" x14ac:dyDescent="0.3">
      <c r="A27" s="127" t="s">
        <v>337</v>
      </c>
      <c r="B27" s="128">
        <v>45568</v>
      </c>
      <c r="C27" s="127" t="s">
        <v>26</v>
      </c>
      <c r="D27" s="127" t="s">
        <v>27</v>
      </c>
      <c r="E27" s="127" t="s">
        <v>37</v>
      </c>
      <c r="F27" s="127" t="s">
        <v>401</v>
      </c>
      <c r="G27" t="s">
        <v>78</v>
      </c>
      <c r="H27">
        <v>20105424605</v>
      </c>
      <c r="I27" t="s">
        <v>277</v>
      </c>
      <c r="J27" s="127" t="s">
        <v>381</v>
      </c>
      <c r="K27" s="123">
        <v>10650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0</v>
      </c>
      <c r="S27" s="123">
        <v>0</v>
      </c>
      <c r="T27" s="123">
        <v>0</v>
      </c>
      <c r="U27" s="123">
        <v>10650</v>
      </c>
      <c r="V27" s="123">
        <v>10650</v>
      </c>
      <c r="W27" s="123">
        <v>0</v>
      </c>
      <c r="X27" s="123" t="s">
        <v>324</v>
      </c>
      <c r="Y27" s="122">
        <v>45568</v>
      </c>
      <c r="Z27" s="123">
        <v>0</v>
      </c>
      <c r="AF27" s="123">
        <v>10650</v>
      </c>
    </row>
    <row r="28" spans="1:32" x14ac:dyDescent="0.3">
      <c r="A28" s="127" t="s">
        <v>337</v>
      </c>
      <c r="B28" s="128">
        <v>45568</v>
      </c>
      <c r="C28" s="127" t="s">
        <v>26</v>
      </c>
      <c r="D28" s="127" t="s">
        <v>58</v>
      </c>
      <c r="E28" s="127" t="s">
        <v>67</v>
      </c>
      <c r="F28" s="127" t="s">
        <v>376</v>
      </c>
      <c r="G28" t="s">
        <v>374</v>
      </c>
      <c r="H28">
        <v>30712149945</v>
      </c>
      <c r="I28" t="s">
        <v>375</v>
      </c>
      <c r="J28" s="127" t="s">
        <v>381</v>
      </c>
      <c r="K28" s="123">
        <v>29374.79</v>
      </c>
      <c r="L28" s="123">
        <v>6168.7058999999999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</v>
      </c>
      <c r="S28" s="123">
        <v>0</v>
      </c>
      <c r="T28" s="123">
        <v>6168.7058999999999</v>
      </c>
      <c r="U28" s="123">
        <v>35543.495900000002</v>
      </c>
      <c r="V28" s="123">
        <v>35543.495900000002</v>
      </c>
      <c r="W28" s="123">
        <v>0</v>
      </c>
      <c r="X28" s="123" t="s">
        <v>324</v>
      </c>
      <c r="Y28" s="122">
        <v>45567</v>
      </c>
      <c r="Z28" s="123">
        <v>35543.495900000002</v>
      </c>
      <c r="AF28" s="123">
        <v>0</v>
      </c>
    </row>
    <row r="29" spans="1:32" x14ac:dyDescent="0.3">
      <c r="A29" s="127" t="s">
        <v>337</v>
      </c>
      <c r="B29" s="128">
        <v>45568</v>
      </c>
      <c r="C29" s="127" t="s">
        <v>26</v>
      </c>
      <c r="D29" s="127" t="s">
        <v>58</v>
      </c>
      <c r="E29" s="127" t="s">
        <v>74</v>
      </c>
      <c r="F29" s="127" t="s">
        <v>362</v>
      </c>
      <c r="G29" t="s">
        <v>363</v>
      </c>
      <c r="H29">
        <v>30716688735</v>
      </c>
      <c r="I29" t="s">
        <v>142</v>
      </c>
      <c r="J29" s="127" t="s">
        <v>381</v>
      </c>
      <c r="K29" s="123">
        <v>115980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</v>
      </c>
      <c r="S29" s="123">
        <v>0</v>
      </c>
      <c r="T29" s="123">
        <v>0</v>
      </c>
      <c r="U29" s="123">
        <v>115980</v>
      </c>
      <c r="V29" s="123">
        <v>115980</v>
      </c>
      <c r="X29" s="123" t="s">
        <v>325</v>
      </c>
    </row>
    <row r="30" spans="1:32" x14ac:dyDescent="0.3">
      <c r="A30" s="127" t="s">
        <v>337</v>
      </c>
      <c r="B30" s="128">
        <v>45568</v>
      </c>
      <c r="C30" s="127" t="s">
        <v>26</v>
      </c>
      <c r="D30" s="127" t="s">
        <v>27</v>
      </c>
      <c r="E30" s="127" t="s">
        <v>37</v>
      </c>
      <c r="F30" s="127" t="s">
        <v>353</v>
      </c>
      <c r="G30" t="s">
        <v>354</v>
      </c>
      <c r="H30">
        <v>27332358435</v>
      </c>
      <c r="I30" t="s">
        <v>355</v>
      </c>
      <c r="J30" s="127" t="s">
        <v>381</v>
      </c>
      <c r="K30" s="123">
        <v>400000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400000</v>
      </c>
      <c r="V30" s="123">
        <v>400000</v>
      </c>
      <c r="W30" s="123">
        <v>0</v>
      </c>
      <c r="X30" s="123" t="s">
        <v>324</v>
      </c>
      <c r="Y30" s="122">
        <v>45570</v>
      </c>
      <c r="Z30" s="123">
        <v>400000</v>
      </c>
      <c r="AF30" s="123">
        <v>0</v>
      </c>
    </row>
    <row r="31" spans="1:32" x14ac:dyDescent="0.3">
      <c r="A31" s="127" t="s">
        <v>337</v>
      </c>
      <c r="B31" s="128">
        <v>45569</v>
      </c>
      <c r="C31" s="127" t="s">
        <v>26</v>
      </c>
      <c r="D31" s="127" t="s">
        <v>58</v>
      </c>
      <c r="E31" s="127" t="s">
        <v>32</v>
      </c>
      <c r="F31" s="127" t="s">
        <v>475</v>
      </c>
      <c r="G31" t="s">
        <v>146</v>
      </c>
      <c r="H31">
        <v>33716385359</v>
      </c>
      <c r="I31" t="s">
        <v>142</v>
      </c>
      <c r="J31" s="127" t="s">
        <v>381</v>
      </c>
      <c r="K31" s="123">
        <v>40000</v>
      </c>
      <c r="L31" s="123">
        <v>8400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1440.0000000000002</v>
      </c>
      <c r="S31" s="123">
        <v>0</v>
      </c>
      <c r="T31" s="123">
        <v>8400</v>
      </c>
      <c r="U31" s="123">
        <v>49840</v>
      </c>
      <c r="V31" s="123">
        <v>49840</v>
      </c>
      <c r="X31" s="123" t="s">
        <v>325</v>
      </c>
    </row>
    <row r="32" spans="1:32" x14ac:dyDescent="0.3">
      <c r="A32" s="127" t="s">
        <v>337</v>
      </c>
      <c r="B32" s="128">
        <v>45569</v>
      </c>
      <c r="C32" s="127" t="s">
        <v>434</v>
      </c>
      <c r="D32" s="127" t="s">
        <v>403</v>
      </c>
      <c r="E32" s="127" t="s">
        <v>28</v>
      </c>
      <c r="F32" s="127" t="s">
        <v>588</v>
      </c>
      <c r="G32" t="s">
        <v>406</v>
      </c>
      <c r="H32">
        <v>30111111111</v>
      </c>
      <c r="I32" t="s">
        <v>405</v>
      </c>
      <c r="J32" s="127" t="s">
        <v>381</v>
      </c>
      <c r="K32" s="123">
        <v>16000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3">
        <v>0</v>
      </c>
      <c r="U32" s="123">
        <v>16000</v>
      </c>
      <c r="V32" s="123">
        <v>16000</v>
      </c>
      <c r="W32" s="123">
        <v>0</v>
      </c>
      <c r="X32" s="123" t="s">
        <v>324</v>
      </c>
      <c r="Y32" s="122">
        <v>45569</v>
      </c>
      <c r="Z32" s="123">
        <v>0</v>
      </c>
      <c r="AF32" s="123">
        <v>16000</v>
      </c>
    </row>
    <row r="33" spans="1:32" x14ac:dyDescent="0.3">
      <c r="A33" s="127" t="s">
        <v>337</v>
      </c>
      <c r="B33" s="128">
        <v>45569</v>
      </c>
      <c r="C33" s="127" t="s">
        <v>26</v>
      </c>
      <c r="D33" s="127" t="s">
        <v>27</v>
      </c>
      <c r="E33" s="127" t="s">
        <v>37</v>
      </c>
      <c r="F33" s="127" t="s">
        <v>702</v>
      </c>
      <c r="G33" t="s">
        <v>78</v>
      </c>
      <c r="H33">
        <v>20105424605</v>
      </c>
      <c r="I33" t="s">
        <v>277</v>
      </c>
      <c r="J33" s="127" t="s">
        <v>381</v>
      </c>
      <c r="K33" s="123">
        <v>6570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</v>
      </c>
      <c r="S33" s="123">
        <v>0</v>
      </c>
      <c r="T33" s="123">
        <v>0</v>
      </c>
      <c r="U33" s="123">
        <v>6570</v>
      </c>
      <c r="V33" s="123">
        <v>6570</v>
      </c>
      <c r="W33" s="123">
        <v>0</v>
      </c>
      <c r="X33" s="123" t="s">
        <v>324</v>
      </c>
      <c r="Y33" s="122">
        <v>45569</v>
      </c>
      <c r="Z33" s="123">
        <v>0</v>
      </c>
      <c r="AF33" s="123">
        <v>6570</v>
      </c>
    </row>
    <row r="34" spans="1:32" x14ac:dyDescent="0.3">
      <c r="A34" s="127" t="s">
        <v>337</v>
      </c>
      <c r="B34" s="128">
        <v>45569</v>
      </c>
      <c r="C34" s="127" t="s">
        <v>26</v>
      </c>
      <c r="D34" s="127" t="s">
        <v>27</v>
      </c>
      <c r="E34" s="127" t="s">
        <v>32</v>
      </c>
      <c r="F34" s="127" t="s">
        <v>215</v>
      </c>
      <c r="G34" t="s">
        <v>254</v>
      </c>
      <c r="H34">
        <v>27414867486</v>
      </c>
      <c r="I34" t="s">
        <v>523</v>
      </c>
      <c r="J34" s="127" t="s">
        <v>381</v>
      </c>
      <c r="K34" s="123">
        <v>202800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0</v>
      </c>
      <c r="S34" s="123">
        <v>0</v>
      </c>
      <c r="T34" s="123">
        <v>0</v>
      </c>
      <c r="U34" s="123">
        <v>202800</v>
      </c>
      <c r="V34" s="123">
        <v>202800</v>
      </c>
      <c r="W34" s="123">
        <v>0</v>
      </c>
      <c r="X34" s="123" t="s">
        <v>324</v>
      </c>
      <c r="Y34" s="122">
        <v>45581</v>
      </c>
      <c r="Z34" s="123">
        <v>202800</v>
      </c>
      <c r="AF34" s="123">
        <v>0</v>
      </c>
    </row>
    <row r="35" spans="1:32" x14ac:dyDescent="0.3">
      <c r="A35" s="127" t="s">
        <v>337</v>
      </c>
      <c r="B35" s="128">
        <v>45572</v>
      </c>
      <c r="C35" s="127" t="s">
        <v>26</v>
      </c>
      <c r="D35" s="127" t="s">
        <v>27</v>
      </c>
      <c r="E35" s="127" t="s">
        <v>32</v>
      </c>
      <c r="F35" s="127" t="s">
        <v>792</v>
      </c>
      <c r="G35" t="s">
        <v>793</v>
      </c>
      <c r="H35">
        <v>20139171927</v>
      </c>
      <c r="I35" t="s">
        <v>794</v>
      </c>
      <c r="J35" s="127" t="s">
        <v>381</v>
      </c>
      <c r="K35" s="123">
        <v>12000</v>
      </c>
      <c r="L35" s="123">
        <v>0</v>
      </c>
      <c r="M35" s="123">
        <v>0</v>
      </c>
      <c r="N35" s="123">
        <v>0</v>
      </c>
      <c r="O35" s="123">
        <v>0</v>
      </c>
      <c r="P35" s="123">
        <v>0</v>
      </c>
      <c r="Q35" s="123">
        <v>0</v>
      </c>
      <c r="R35" s="123">
        <v>0</v>
      </c>
      <c r="S35" s="123">
        <v>0</v>
      </c>
      <c r="T35" s="123">
        <v>0</v>
      </c>
      <c r="U35" s="123">
        <v>12000</v>
      </c>
      <c r="V35" s="123">
        <v>12000</v>
      </c>
      <c r="X35" s="123" t="s">
        <v>325</v>
      </c>
    </row>
    <row r="36" spans="1:32" x14ac:dyDescent="0.3">
      <c r="A36" s="127" t="s">
        <v>337</v>
      </c>
      <c r="B36" s="128">
        <v>45572</v>
      </c>
      <c r="C36" s="127" t="s">
        <v>26</v>
      </c>
      <c r="D36" s="127" t="s">
        <v>58</v>
      </c>
      <c r="E36" s="127" t="s">
        <v>74</v>
      </c>
      <c r="F36" s="127" t="s">
        <v>704</v>
      </c>
      <c r="G36" t="s">
        <v>129</v>
      </c>
      <c r="H36">
        <v>30717926966</v>
      </c>
      <c r="I36" t="s">
        <v>666</v>
      </c>
      <c r="J36" s="127" t="s">
        <v>381</v>
      </c>
      <c r="K36" s="123">
        <v>218181.9</v>
      </c>
      <c r="L36" s="123">
        <v>45818.199000000001</v>
      </c>
      <c r="M36" s="123">
        <v>0</v>
      </c>
      <c r="N36" s="123">
        <v>0</v>
      </c>
      <c r="O36" s="123">
        <v>0</v>
      </c>
      <c r="P36" s="123">
        <v>0</v>
      </c>
      <c r="Q36" s="123">
        <v>0</v>
      </c>
      <c r="R36" s="123">
        <v>0</v>
      </c>
      <c r="S36" s="123">
        <v>0</v>
      </c>
      <c r="T36" s="123">
        <v>45818.199000000001</v>
      </c>
      <c r="U36" s="123">
        <v>264000.09899999999</v>
      </c>
      <c r="V36" s="123">
        <v>264000.09899999999</v>
      </c>
      <c r="X36" s="123" t="s">
        <v>325</v>
      </c>
    </row>
    <row r="37" spans="1:32" x14ac:dyDescent="0.3">
      <c r="A37" s="127" t="s">
        <v>337</v>
      </c>
      <c r="B37" s="128">
        <v>45572</v>
      </c>
      <c r="C37" s="127" t="s">
        <v>434</v>
      </c>
      <c r="D37" s="127" t="s">
        <v>403</v>
      </c>
      <c r="E37" s="127" t="s">
        <v>28</v>
      </c>
      <c r="F37" s="127" t="s">
        <v>404</v>
      </c>
      <c r="G37" t="s">
        <v>406</v>
      </c>
      <c r="H37">
        <v>30111111111</v>
      </c>
      <c r="I37" t="s">
        <v>405</v>
      </c>
      <c r="J37" s="127" t="s">
        <v>381</v>
      </c>
      <c r="K37" s="123">
        <v>2700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0</v>
      </c>
      <c r="T37" s="123">
        <v>0</v>
      </c>
      <c r="U37" s="123">
        <v>2700</v>
      </c>
      <c r="V37" s="123">
        <v>2700</v>
      </c>
      <c r="W37" s="123">
        <v>0</v>
      </c>
      <c r="X37" s="123" t="s">
        <v>324</v>
      </c>
      <c r="Y37" s="122">
        <v>45572</v>
      </c>
      <c r="Z37" s="123">
        <v>0</v>
      </c>
      <c r="AF37" s="123">
        <v>2700</v>
      </c>
    </row>
    <row r="38" spans="1:32" x14ac:dyDescent="0.3">
      <c r="A38" s="127" t="s">
        <v>337</v>
      </c>
      <c r="B38" s="128">
        <v>45572</v>
      </c>
      <c r="C38" s="127" t="s">
        <v>434</v>
      </c>
      <c r="D38" s="127" t="s">
        <v>403</v>
      </c>
      <c r="E38" s="127" t="s">
        <v>28</v>
      </c>
      <c r="F38" s="127" t="s">
        <v>45</v>
      </c>
      <c r="G38" t="s">
        <v>406</v>
      </c>
      <c r="H38">
        <v>30111111111</v>
      </c>
      <c r="I38" t="s">
        <v>405</v>
      </c>
      <c r="J38" s="127" t="s">
        <v>381</v>
      </c>
      <c r="K38" s="123">
        <v>13000</v>
      </c>
      <c r="L38" s="123">
        <v>0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0</v>
      </c>
      <c r="T38" s="123">
        <v>0</v>
      </c>
      <c r="U38" s="123">
        <v>13000</v>
      </c>
      <c r="V38" s="123">
        <v>13000</v>
      </c>
      <c r="W38" s="123">
        <v>0</v>
      </c>
      <c r="X38" s="123" t="s">
        <v>324</v>
      </c>
      <c r="Y38" s="122">
        <v>45572</v>
      </c>
      <c r="Z38" s="123">
        <v>0</v>
      </c>
      <c r="AF38" s="123">
        <v>13000</v>
      </c>
    </row>
    <row r="39" spans="1:32" x14ac:dyDescent="0.3">
      <c r="A39" s="127" t="s">
        <v>337</v>
      </c>
      <c r="B39" s="128">
        <v>45572</v>
      </c>
      <c r="C39" s="127" t="s">
        <v>641</v>
      </c>
      <c r="G39" t="s">
        <v>406</v>
      </c>
      <c r="H39">
        <v>30111111111</v>
      </c>
      <c r="I39" t="s">
        <v>642</v>
      </c>
      <c r="J39" s="127" t="s">
        <v>381</v>
      </c>
      <c r="K39" s="123">
        <v>8000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8000</v>
      </c>
      <c r="V39" s="123">
        <v>8000</v>
      </c>
      <c r="W39" s="123">
        <v>0</v>
      </c>
      <c r="X39" s="123" t="s">
        <v>324</v>
      </c>
      <c r="Y39" s="122">
        <v>45572</v>
      </c>
      <c r="Z39" s="123">
        <v>0</v>
      </c>
      <c r="AF39" s="123">
        <v>8000</v>
      </c>
    </row>
    <row r="40" spans="1:32" x14ac:dyDescent="0.3">
      <c r="A40" s="127" t="s">
        <v>337</v>
      </c>
      <c r="B40" s="128">
        <v>45572</v>
      </c>
      <c r="C40" s="127" t="s">
        <v>434</v>
      </c>
      <c r="D40" s="127" t="s">
        <v>27</v>
      </c>
      <c r="E40" s="127" t="s">
        <v>37</v>
      </c>
      <c r="F40" s="127" t="s">
        <v>435</v>
      </c>
      <c r="G40" t="s">
        <v>436</v>
      </c>
      <c r="H40">
        <v>20340077904</v>
      </c>
      <c r="I40" t="s">
        <v>437</v>
      </c>
      <c r="J40" s="127" t="s">
        <v>381</v>
      </c>
      <c r="K40" s="123">
        <v>441377</v>
      </c>
      <c r="L40" s="123">
        <v>0</v>
      </c>
      <c r="M40" s="123">
        <v>0</v>
      </c>
      <c r="N40" s="123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0</v>
      </c>
      <c r="T40" s="123">
        <v>0</v>
      </c>
      <c r="U40" s="123">
        <v>441377</v>
      </c>
      <c r="V40" s="123">
        <v>441377</v>
      </c>
      <c r="W40" s="123">
        <v>0</v>
      </c>
      <c r="X40" s="123" t="s">
        <v>324</v>
      </c>
      <c r="Y40" s="122">
        <v>45573</v>
      </c>
      <c r="Z40" s="123">
        <v>441377</v>
      </c>
      <c r="AF40" s="123">
        <v>0</v>
      </c>
    </row>
    <row r="41" spans="1:32" x14ac:dyDescent="0.3">
      <c r="A41" s="127" t="s">
        <v>337</v>
      </c>
      <c r="B41" s="128">
        <v>45572</v>
      </c>
      <c r="C41" s="127" t="s">
        <v>26</v>
      </c>
      <c r="D41" s="127" t="s">
        <v>27</v>
      </c>
      <c r="E41" s="127" t="s">
        <v>37</v>
      </c>
      <c r="F41" s="127" t="s">
        <v>643</v>
      </c>
      <c r="G41" t="s">
        <v>78</v>
      </c>
      <c r="H41">
        <v>20105424605</v>
      </c>
      <c r="I41" t="s">
        <v>277</v>
      </c>
      <c r="J41" s="127" t="s">
        <v>381</v>
      </c>
      <c r="K41" s="123">
        <v>17130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3">
        <v>0</v>
      </c>
      <c r="S41" s="123">
        <v>0</v>
      </c>
      <c r="T41" s="123">
        <v>0</v>
      </c>
      <c r="U41" s="123">
        <v>17130</v>
      </c>
      <c r="V41" s="123">
        <v>17130</v>
      </c>
      <c r="W41" s="123">
        <v>0</v>
      </c>
      <c r="X41" s="123" t="s">
        <v>324</v>
      </c>
      <c r="Y41" s="122">
        <v>45572</v>
      </c>
      <c r="Z41" s="123">
        <v>0</v>
      </c>
      <c r="AF41" s="123">
        <v>17130</v>
      </c>
    </row>
    <row r="42" spans="1:32" x14ac:dyDescent="0.3">
      <c r="A42" s="127" t="s">
        <v>337</v>
      </c>
      <c r="B42" s="128">
        <v>45572</v>
      </c>
      <c r="C42" s="127" t="s">
        <v>26</v>
      </c>
      <c r="D42" s="127" t="s">
        <v>58</v>
      </c>
      <c r="E42" s="127" t="s">
        <v>32</v>
      </c>
      <c r="F42" s="127" t="s">
        <v>626</v>
      </c>
      <c r="G42" t="s">
        <v>212</v>
      </c>
      <c r="H42">
        <v>30709462306</v>
      </c>
      <c r="I42" t="s">
        <v>627</v>
      </c>
      <c r="J42" s="127" t="s">
        <v>381</v>
      </c>
      <c r="K42" s="123">
        <v>554203.15</v>
      </c>
      <c r="L42" s="123">
        <v>116382.6615</v>
      </c>
      <c r="M42" s="123">
        <v>0</v>
      </c>
      <c r="N42" s="123">
        <v>0</v>
      </c>
      <c r="O42" s="123">
        <v>0</v>
      </c>
      <c r="P42" s="123">
        <v>0</v>
      </c>
      <c r="Q42" s="123">
        <v>0</v>
      </c>
      <c r="R42" s="123">
        <v>0</v>
      </c>
      <c r="T42" s="123">
        <v>116382.6615</v>
      </c>
      <c r="U42" s="123">
        <v>670585.81150000007</v>
      </c>
      <c r="V42" s="123">
        <v>670585.81150000007</v>
      </c>
      <c r="X42" s="123" t="s">
        <v>325</v>
      </c>
    </row>
    <row r="43" spans="1:32" x14ac:dyDescent="0.3">
      <c r="A43" s="127" t="s">
        <v>337</v>
      </c>
      <c r="B43" s="128">
        <v>45572</v>
      </c>
      <c r="C43" s="127" t="s">
        <v>26</v>
      </c>
      <c r="D43" s="127" t="s">
        <v>58</v>
      </c>
      <c r="E43" s="127" t="s">
        <v>639</v>
      </c>
      <c r="F43" s="127" t="s">
        <v>640</v>
      </c>
      <c r="G43" t="s">
        <v>202</v>
      </c>
      <c r="H43">
        <v>33715472649</v>
      </c>
      <c r="I43" t="s">
        <v>203</v>
      </c>
      <c r="J43" s="127" t="s">
        <v>381</v>
      </c>
      <c r="K43" s="123">
        <v>16528.93</v>
      </c>
      <c r="L43" s="123">
        <v>3471.0753</v>
      </c>
      <c r="M43" s="123">
        <v>0</v>
      </c>
      <c r="N43" s="123">
        <v>0</v>
      </c>
      <c r="O43" s="123">
        <v>0</v>
      </c>
      <c r="P43" s="123">
        <v>0</v>
      </c>
      <c r="Q43" s="123">
        <v>0</v>
      </c>
      <c r="R43" s="123">
        <v>595.04148000000009</v>
      </c>
      <c r="S43" s="123">
        <v>0</v>
      </c>
      <c r="T43" s="123">
        <v>3471.0753</v>
      </c>
      <c r="U43" s="123">
        <v>20595.046780000001</v>
      </c>
      <c r="V43" s="123">
        <v>20595.046780000001</v>
      </c>
      <c r="W43" s="123">
        <v>0</v>
      </c>
      <c r="X43" s="123" t="s">
        <v>324</v>
      </c>
      <c r="Y43" s="122">
        <v>45572</v>
      </c>
      <c r="Z43" s="123">
        <v>0</v>
      </c>
      <c r="AF43" s="123">
        <v>20595.046780000001</v>
      </c>
    </row>
    <row r="44" spans="1:32" x14ac:dyDescent="0.3">
      <c r="A44" s="127" t="s">
        <v>337</v>
      </c>
      <c r="B44" s="128">
        <v>45573</v>
      </c>
      <c r="C44" s="127" t="s">
        <v>26</v>
      </c>
      <c r="D44" s="127" t="s">
        <v>58</v>
      </c>
      <c r="E44" s="127">
        <v>1326</v>
      </c>
      <c r="F44" s="127" t="s">
        <v>751</v>
      </c>
      <c r="G44" t="s">
        <v>89</v>
      </c>
      <c r="H44">
        <v>30663288497</v>
      </c>
      <c r="I44" t="s">
        <v>275</v>
      </c>
      <c r="J44" s="127" t="s">
        <v>381</v>
      </c>
      <c r="K44" s="123">
        <v>51456.72</v>
      </c>
      <c r="L44" s="123">
        <v>6983.97</v>
      </c>
      <c r="M44" s="123">
        <v>0</v>
      </c>
      <c r="N44" s="123">
        <v>4913.92</v>
      </c>
      <c r="O44" s="123">
        <v>0</v>
      </c>
      <c r="P44" s="123">
        <v>0</v>
      </c>
      <c r="Q44" s="123">
        <v>1543.7015999999999</v>
      </c>
      <c r="R44" s="123">
        <v>1852.4419200000002</v>
      </c>
      <c r="S44" s="123">
        <v>903</v>
      </c>
      <c r="T44" s="123">
        <v>11897.89</v>
      </c>
      <c r="U44" s="123">
        <v>67653.753519999998</v>
      </c>
      <c r="V44" s="123">
        <v>67653.753519999998</v>
      </c>
      <c r="W44" s="123">
        <v>0</v>
      </c>
      <c r="X44" s="123" t="s">
        <v>325</v>
      </c>
    </row>
    <row r="45" spans="1:32" x14ac:dyDescent="0.3">
      <c r="A45" s="127" t="s">
        <v>337</v>
      </c>
      <c r="B45" s="128">
        <v>45573</v>
      </c>
      <c r="C45" s="127" t="s">
        <v>26</v>
      </c>
      <c r="D45" s="127" t="s">
        <v>58</v>
      </c>
      <c r="E45" s="127" t="s">
        <v>28</v>
      </c>
      <c r="F45" s="127" t="s">
        <v>169</v>
      </c>
      <c r="G45" t="s">
        <v>483</v>
      </c>
      <c r="H45">
        <v>33718560999</v>
      </c>
      <c r="I45" t="s">
        <v>556</v>
      </c>
      <c r="J45" s="127" t="s">
        <v>381</v>
      </c>
      <c r="K45" s="123">
        <v>192971.67</v>
      </c>
      <c r="L45" s="123">
        <v>40524.0507</v>
      </c>
      <c r="M45" s="123">
        <v>0</v>
      </c>
      <c r="N45" s="123">
        <v>0</v>
      </c>
      <c r="O45" s="123">
        <v>0</v>
      </c>
      <c r="P45" s="123">
        <v>0</v>
      </c>
      <c r="Q45" s="123">
        <v>0</v>
      </c>
      <c r="R45" s="123">
        <v>0</v>
      </c>
      <c r="S45" s="123">
        <v>0</v>
      </c>
      <c r="T45" s="123">
        <v>40524.0507</v>
      </c>
      <c r="U45" s="123">
        <v>233495.72070000001</v>
      </c>
      <c r="V45" s="123">
        <v>233495.72070000001</v>
      </c>
      <c r="W45" s="123">
        <v>0</v>
      </c>
      <c r="X45" s="123" t="s">
        <v>324</v>
      </c>
      <c r="Y45" s="122">
        <v>45575</v>
      </c>
      <c r="Z45" s="123">
        <v>233495.72070000001</v>
      </c>
      <c r="AF45" s="123">
        <v>0</v>
      </c>
    </row>
    <row r="46" spans="1:32" x14ac:dyDescent="0.3">
      <c r="A46" s="127" t="s">
        <v>337</v>
      </c>
      <c r="B46" s="128">
        <v>45573</v>
      </c>
      <c r="C46" s="127" t="s">
        <v>26</v>
      </c>
      <c r="D46" s="127" t="s">
        <v>58</v>
      </c>
      <c r="E46" s="127" t="s">
        <v>113</v>
      </c>
      <c r="F46" s="127" t="s">
        <v>755</v>
      </c>
      <c r="G46" t="s">
        <v>690</v>
      </c>
      <c r="H46">
        <v>20304199483</v>
      </c>
      <c r="I46" t="s">
        <v>756</v>
      </c>
      <c r="J46" s="127" t="s">
        <v>381</v>
      </c>
      <c r="K46" s="123">
        <v>3471.06</v>
      </c>
      <c r="L46" s="123">
        <v>728.92259999999999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0.02</v>
      </c>
      <c r="T46" s="123">
        <v>728.92259999999999</v>
      </c>
      <c r="U46" s="123">
        <v>4200.0026000000007</v>
      </c>
      <c r="V46" s="123">
        <v>4200.0026000000007</v>
      </c>
      <c r="W46" s="123">
        <v>0</v>
      </c>
      <c r="X46" s="123" t="s">
        <v>324</v>
      </c>
      <c r="Y46" s="122">
        <v>45573</v>
      </c>
      <c r="Z46" s="123">
        <v>0</v>
      </c>
      <c r="AF46" s="123">
        <v>4200.0026000000007</v>
      </c>
    </row>
    <row r="47" spans="1:32" x14ac:dyDescent="0.3">
      <c r="A47" s="127" t="s">
        <v>337</v>
      </c>
      <c r="B47" s="128">
        <v>45573</v>
      </c>
      <c r="C47" s="127" t="s">
        <v>26</v>
      </c>
      <c r="D47" s="127" t="s">
        <v>58</v>
      </c>
      <c r="E47" s="127" t="s">
        <v>32</v>
      </c>
      <c r="F47" s="127" t="s">
        <v>476</v>
      </c>
      <c r="G47" t="s">
        <v>146</v>
      </c>
      <c r="H47">
        <v>33716385359</v>
      </c>
      <c r="I47" t="s">
        <v>142</v>
      </c>
      <c r="J47" s="127" t="s">
        <v>381</v>
      </c>
      <c r="K47" s="123">
        <v>1461050</v>
      </c>
      <c r="L47" s="123">
        <v>306820.5</v>
      </c>
      <c r="M47" s="123">
        <v>0</v>
      </c>
      <c r="N47" s="123">
        <v>0</v>
      </c>
      <c r="O47" s="123">
        <v>0</v>
      </c>
      <c r="P47" s="123">
        <v>680100</v>
      </c>
      <c r="Q47" s="123">
        <v>0</v>
      </c>
      <c r="R47" s="123">
        <v>77081.400000000009</v>
      </c>
      <c r="S47" s="123">
        <v>0</v>
      </c>
      <c r="T47" s="123">
        <v>306820.5</v>
      </c>
      <c r="U47" s="123">
        <v>2525051.9</v>
      </c>
      <c r="V47" s="123">
        <v>2525051.9</v>
      </c>
      <c r="X47" s="123" t="s">
        <v>325</v>
      </c>
    </row>
    <row r="48" spans="1:32" x14ac:dyDescent="0.3">
      <c r="A48" s="127" t="s">
        <v>337</v>
      </c>
      <c r="B48" s="128">
        <v>45573</v>
      </c>
      <c r="C48" s="127" t="s">
        <v>26</v>
      </c>
      <c r="D48" s="127" t="s">
        <v>58</v>
      </c>
      <c r="E48" s="127" t="s">
        <v>151</v>
      </c>
      <c r="F48" s="127" t="s">
        <v>644</v>
      </c>
      <c r="G48" t="s">
        <v>619</v>
      </c>
      <c r="H48">
        <v>33708183429</v>
      </c>
      <c r="I48" t="s">
        <v>645</v>
      </c>
      <c r="J48" s="127" t="s">
        <v>381</v>
      </c>
      <c r="K48" s="123">
        <v>2892.55</v>
      </c>
      <c r="L48" s="123">
        <v>607.43550000000005</v>
      </c>
      <c r="M48" s="123">
        <v>0</v>
      </c>
      <c r="N48" s="123">
        <v>0</v>
      </c>
      <c r="O48" s="123">
        <v>0</v>
      </c>
      <c r="P48" s="123">
        <v>0</v>
      </c>
      <c r="Q48" s="123">
        <v>0</v>
      </c>
      <c r="R48" s="123">
        <v>0</v>
      </c>
      <c r="S48" s="123">
        <v>0</v>
      </c>
      <c r="T48" s="123">
        <v>607.43550000000005</v>
      </c>
      <c r="U48" s="123">
        <v>3499.9855000000002</v>
      </c>
      <c r="V48" s="123">
        <v>3499.9855000000002</v>
      </c>
      <c r="W48" s="123">
        <v>0</v>
      </c>
      <c r="X48" s="123" t="s">
        <v>324</v>
      </c>
      <c r="Y48" s="122">
        <v>45573</v>
      </c>
      <c r="Z48" s="123">
        <v>0</v>
      </c>
      <c r="AF48" s="123">
        <v>3499.9855000000002</v>
      </c>
    </row>
    <row r="49" spans="1:32" x14ac:dyDescent="0.3">
      <c r="A49" s="127" t="s">
        <v>337</v>
      </c>
      <c r="B49" s="128">
        <v>45573</v>
      </c>
      <c r="C49" s="127" t="s">
        <v>26</v>
      </c>
      <c r="D49" s="127" t="s">
        <v>58</v>
      </c>
      <c r="E49" s="127" t="s">
        <v>757</v>
      </c>
      <c r="F49" s="127" t="s">
        <v>758</v>
      </c>
      <c r="G49" t="s">
        <v>759</v>
      </c>
      <c r="H49">
        <v>30644685906</v>
      </c>
      <c r="I49" t="s">
        <v>203</v>
      </c>
      <c r="J49" s="127" t="s">
        <v>381</v>
      </c>
      <c r="K49" s="123">
        <v>24574.38</v>
      </c>
      <c r="L49" s="123">
        <v>5160.6198000000004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1228.72</v>
      </c>
      <c r="S49" s="123">
        <v>0</v>
      </c>
      <c r="T49" s="123">
        <v>5160.6198000000004</v>
      </c>
      <c r="U49" s="123">
        <v>30963.719800000003</v>
      </c>
      <c r="V49" s="123">
        <v>30963.719800000003</v>
      </c>
      <c r="W49" s="123">
        <v>0</v>
      </c>
      <c r="X49" s="123" t="s">
        <v>324</v>
      </c>
      <c r="Y49" s="122">
        <v>45573</v>
      </c>
      <c r="Z49" s="123">
        <v>0</v>
      </c>
      <c r="AF49" s="123">
        <v>30963.719800000003</v>
      </c>
    </row>
    <row r="50" spans="1:32" x14ac:dyDescent="0.3">
      <c r="A50" s="127" t="s">
        <v>337</v>
      </c>
      <c r="B50" s="128">
        <v>45574</v>
      </c>
      <c r="C50" s="127" t="s">
        <v>434</v>
      </c>
      <c r="D50" s="127" t="s">
        <v>403</v>
      </c>
      <c r="E50" s="127" t="s">
        <v>28</v>
      </c>
      <c r="F50" s="127" t="s">
        <v>180</v>
      </c>
      <c r="G50" t="s">
        <v>406</v>
      </c>
      <c r="H50">
        <v>30111111111</v>
      </c>
      <c r="I50" t="s">
        <v>405</v>
      </c>
      <c r="J50" s="127" t="s">
        <v>381</v>
      </c>
      <c r="K50" s="123">
        <v>2000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0</v>
      </c>
      <c r="S50" s="123">
        <v>0</v>
      </c>
      <c r="T50" s="123">
        <v>0</v>
      </c>
      <c r="U50" s="123">
        <v>2000</v>
      </c>
      <c r="V50" s="123">
        <v>2000</v>
      </c>
      <c r="W50" s="123">
        <v>0</v>
      </c>
      <c r="X50" s="123" t="s">
        <v>324</v>
      </c>
      <c r="Y50" s="122">
        <v>45574</v>
      </c>
      <c r="Z50" s="123">
        <v>0</v>
      </c>
      <c r="AF50" s="123">
        <v>2000</v>
      </c>
    </row>
    <row r="51" spans="1:32" x14ac:dyDescent="0.3">
      <c r="A51" s="127" t="s">
        <v>337</v>
      </c>
      <c r="B51" s="128">
        <v>45574</v>
      </c>
      <c r="C51" s="127" t="s">
        <v>641</v>
      </c>
      <c r="G51" t="s">
        <v>406</v>
      </c>
      <c r="H51">
        <v>30111111111</v>
      </c>
      <c r="I51" t="s">
        <v>638</v>
      </c>
      <c r="J51" s="127" t="s">
        <v>381</v>
      </c>
      <c r="K51" s="123">
        <v>2000</v>
      </c>
      <c r="L51" s="123">
        <v>0</v>
      </c>
      <c r="M51" s="123">
        <v>0</v>
      </c>
      <c r="N51" s="123">
        <v>0</v>
      </c>
      <c r="O51" s="123">
        <v>0</v>
      </c>
      <c r="P51" s="123">
        <v>0</v>
      </c>
      <c r="Q51" s="123">
        <v>0</v>
      </c>
      <c r="R51" s="123">
        <v>0</v>
      </c>
      <c r="S51" s="123">
        <v>0</v>
      </c>
      <c r="T51" s="123">
        <v>0</v>
      </c>
      <c r="U51" s="123">
        <v>2000</v>
      </c>
      <c r="V51" s="123">
        <v>2000</v>
      </c>
      <c r="W51" s="123">
        <v>0</v>
      </c>
      <c r="X51" s="123" t="s">
        <v>324</v>
      </c>
      <c r="Y51" s="122">
        <v>45574</v>
      </c>
      <c r="Z51" s="123">
        <v>0</v>
      </c>
      <c r="AF51" s="123">
        <v>2000</v>
      </c>
    </row>
    <row r="52" spans="1:32" x14ac:dyDescent="0.3">
      <c r="A52" s="127" t="s">
        <v>337</v>
      </c>
      <c r="B52" s="128">
        <v>45574</v>
      </c>
      <c r="C52" s="127" t="s">
        <v>26</v>
      </c>
      <c r="D52" s="127" t="s">
        <v>27</v>
      </c>
      <c r="E52" s="127" t="s">
        <v>37</v>
      </c>
      <c r="F52" s="127" t="s">
        <v>749</v>
      </c>
      <c r="G52" t="s">
        <v>78</v>
      </c>
      <c r="H52">
        <v>20105424605</v>
      </c>
      <c r="I52" t="s">
        <v>277</v>
      </c>
      <c r="J52" s="127" t="s">
        <v>381</v>
      </c>
      <c r="K52" s="123">
        <v>4470</v>
      </c>
      <c r="L52" s="123">
        <v>0</v>
      </c>
      <c r="M52" s="123">
        <v>0</v>
      </c>
      <c r="N52" s="123">
        <v>0</v>
      </c>
      <c r="O52" s="123">
        <v>0</v>
      </c>
      <c r="P52" s="123">
        <v>0</v>
      </c>
      <c r="Q52" s="123">
        <v>0</v>
      </c>
      <c r="R52" s="123">
        <v>0</v>
      </c>
      <c r="S52" s="123">
        <v>0</v>
      </c>
      <c r="T52" s="123">
        <v>0</v>
      </c>
      <c r="U52" s="123">
        <v>4470</v>
      </c>
      <c r="V52" s="123">
        <v>4470</v>
      </c>
      <c r="W52" s="123">
        <v>0</v>
      </c>
      <c r="X52" s="123" t="s">
        <v>324</v>
      </c>
      <c r="Y52" s="122">
        <v>45574</v>
      </c>
      <c r="Z52" s="123">
        <v>0</v>
      </c>
      <c r="AF52" s="123">
        <v>4470</v>
      </c>
    </row>
    <row r="53" spans="1:32" x14ac:dyDescent="0.3">
      <c r="A53" s="127" t="s">
        <v>337</v>
      </c>
      <c r="B53" s="128">
        <v>45574</v>
      </c>
      <c r="C53" s="127" t="s">
        <v>26</v>
      </c>
      <c r="D53" s="127" t="s">
        <v>70</v>
      </c>
      <c r="E53" s="127" t="s">
        <v>418</v>
      </c>
      <c r="F53" s="127" t="s">
        <v>635</v>
      </c>
      <c r="G53" t="s">
        <v>636</v>
      </c>
      <c r="H53">
        <v>20180185107</v>
      </c>
      <c r="I53" t="s">
        <v>279</v>
      </c>
      <c r="J53" s="127" t="s">
        <v>381</v>
      </c>
      <c r="K53" s="123">
        <v>1800</v>
      </c>
      <c r="L53" s="123">
        <v>0</v>
      </c>
      <c r="M53" s="123">
        <v>0</v>
      </c>
      <c r="N53" s="123">
        <v>0</v>
      </c>
      <c r="O53" s="123">
        <v>0</v>
      </c>
      <c r="P53" s="123">
        <v>0</v>
      </c>
      <c r="Q53" s="123">
        <v>0</v>
      </c>
      <c r="R53" s="123">
        <v>0</v>
      </c>
      <c r="S53" s="123">
        <v>0</v>
      </c>
      <c r="T53" s="123">
        <v>0</v>
      </c>
      <c r="U53" s="123">
        <v>1800</v>
      </c>
      <c r="V53" s="123">
        <v>1800</v>
      </c>
      <c r="W53" s="123">
        <v>0</v>
      </c>
      <c r="X53" s="123" t="s">
        <v>324</v>
      </c>
      <c r="Y53" s="122">
        <v>45574</v>
      </c>
      <c r="Z53" s="123">
        <v>0</v>
      </c>
      <c r="AF53" s="123">
        <v>1800</v>
      </c>
    </row>
    <row r="54" spans="1:32" x14ac:dyDescent="0.3">
      <c r="A54" s="127" t="s">
        <v>337</v>
      </c>
      <c r="B54" s="128">
        <v>45574</v>
      </c>
      <c r="C54" s="127" t="s">
        <v>26</v>
      </c>
      <c r="D54" s="127" t="s">
        <v>70</v>
      </c>
      <c r="E54" s="127" t="s">
        <v>418</v>
      </c>
      <c r="F54" s="127" t="s">
        <v>782</v>
      </c>
      <c r="G54" t="s">
        <v>636</v>
      </c>
      <c r="H54">
        <v>20180185107</v>
      </c>
      <c r="I54" t="s">
        <v>783</v>
      </c>
      <c r="J54" s="127" t="s">
        <v>381</v>
      </c>
      <c r="K54" s="123">
        <v>7200</v>
      </c>
      <c r="L54" s="123">
        <v>0</v>
      </c>
      <c r="M54" s="123">
        <v>0</v>
      </c>
      <c r="N54" s="123">
        <v>0</v>
      </c>
      <c r="O54" s="123">
        <v>0</v>
      </c>
      <c r="P54" s="123">
        <v>0</v>
      </c>
      <c r="Q54" s="123">
        <v>0</v>
      </c>
      <c r="R54" s="123">
        <v>0</v>
      </c>
      <c r="S54" s="123">
        <v>0</v>
      </c>
      <c r="T54" s="123">
        <v>0</v>
      </c>
      <c r="U54" s="123">
        <v>7200</v>
      </c>
      <c r="V54" s="123">
        <v>7200</v>
      </c>
      <c r="W54" s="123">
        <v>0</v>
      </c>
      <c r="X54" s="123" t="s">
        <v>324</v>
      </c>
      <c r="Y54" s="122">
        <v>45574</v>
      </c>
      <c r="Z54" s="123">
        <v>0</v>
      </c>
      <c r="AF54" s="123">
        <v>7200</v>
      </c>
    </row>
    <row r="55" spans="1:32" x14ac:dyDescent="0.3">
      <c r="A55" s="127" t="s">
        <v>337</v>
      </c>
      <c r="B55" s="128">
        <v>45574</v>
      </c>
      <c r="C55" s="127" t="s">
        <v>26</v>
      </c>
      <c r="D55" s="127" t="s">
        <v>58</v>
      </c>
      <c r="E55" s="127" t="s">
        <v>67</v>
      </c>
      <c r="F55" s="127" t="s">
        <v>485</v>
      </c>
      <c r="G55" t="s">
        <v>374</v>
      </c>
      <c r="H55">
        <v>30712149945</v>
      </c>
      <c r="I55" t="s">
        <v>375</v>
      </c>
      <c r="J55" s="127" t="s">
        <v>381</v>
      </c>
      <c r="K55" s="123">
        <v>151944.74</v>
      </c>
      <c r="L55" s="123">
        <v>31908.395399999998</v>
      </c>
      <c r="M55" s="123">
        <v>0</v>
      </c>
      <c r="N55" s="123">
        <v>0</v>
      </c>
      <c r="O55" s="123">
        <v>0</v>
      </c>
      <c r="P55" s="123">
        <v>0</v>
      </c>
      <c r="Q55" s="123">
        <v>0</v>
      </c>
      <c r="R55" s="123">
        <v>0</v>
      </c>
      <c r="S55" s="123">
        <v>0</v>
      </c>
      <c r="T55" s="123">
        <v>31908.395399999998</v>
      </c>
      <c r="U55" s="123">
        <v>183853.1354</v>
      </c>
      <c r="V55" s="123">
        <v>183853.1354</v>
      </c>
      <c r="W55" s="123">
        <v>0</v>
      </c>
      <c r="X55" s="123" t="s">
        <v>324</v>
      </c>
      <c r="Y55" s="122">
        <v>45573</v>
      </c>
      <c r="Z55" s="123">
        <v>183853.1354</v>
      </c>
      <c r="AF55" s="123">
        <v>0</v>
      </c>
    </row>
    <row r="56" spans="1:32" x14ac:dyDescent="0.3">
      <c r="A56" s="127" t="s">
        <v>337</v>
      </c>
      <c r="B56" s="128">
        <v>45574</v>
      </c>
      <c r="C56" s="127" t="s">
        <v>26</v>
      </c>
      <c r="D56" s="127" t="s">
        <v>58</v>
      </c>
      <c r="E56" s="127" t="s">
        <v>111</v>
      </c>
      <c r="F56" s="127" t="s">
        <v>676</v>
      </c>
      <c r="G56" t="s">
        <v>95</v>
      </c>
      <c r="H56">
        <v>30583516790</v>
      </c>
      <c r="I56" t="s">
        <v>96</v>
      </c>
      <c r="J56" s="127" t="s">
        <v>381</v>
      </c>
      <c r="K56" s="123">
        <v>1997.11</v>
      </c>
      <c r="L56" s="123">
        <v>419.39309999999995</v>
      </c>
      <c r="M56" s="123">
        <v>0</v>
      </c>
      <c r="N56" s="123">
        <v>0</v>
      </c>
      <c r="O56" s="123">
        <v>0</v>
      </c>
      <c r="P56" s="123">
        <v>0</v>
      </c>
      <c r="Q56" s="123">
        <v>0</v>
      </c>
      <c r="R56" s="123">
        <v>0</v>
      </c>
      <c r="S56" s="123">
        <v>0</v>
      </c>
      <c r="T56" s="123">
        <v>419.39309999999995</v>
      </c>
      <c r="U56" s="123">
        <v>2416.5030999999999</v>
      </c>
      <c r="V56" s="123">
        <v>2416.5030999999999</v>
      </c>
      <c r="W56" s="123">
        <v>0</v>
      </c>
      <c r="X56" s="123" t="s">
        <v>324</v>
      </c>
      <c r="Y56" s="122">
        <v>45574</v>
      </c>
      <c r="Z56" s="123">
        <v>0</v>
      </c>
      <c r="AF56" s="123">
        <v>2416.5030999999999</v>
      </c>
    </row>
    <row r="57" spans="1:32" x14ac:dyDescent="0.3">
      <c r="A57" s="127" t="s">
        <v>337</v>
      </c>
      <c r="B57" s="128">
        <v>45574</v>
      </c>
      <c r="C57" s="127" t="s">
        <v>26</v>
      </c>
      <c r="D57" s="127" t="s">
        <v>70</v>
      </c>
      <c r="E57" s="127" t="s">
        <v>74</v>
      </c>
      <c r="F57" s="127" t="s">
        <v>779</v>
      </c>
      <c r="G57" t="s">
        <v>780</v>
      </c>
      <c r="H57">
        <v>30709764272</v>
      </c>
      <c r="I57" t="s">
        <v>781</v>
      </c>
      <c r="J57" s="127" t="s">
        <v>381</v>
      </c>
      <c r="K57" s="123">
        <v>29200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0</v>
      </c>
      <c r="S57" s="123">
        <v>0</v>
      </c>
      <c r="T57" s="123">
        <v>0</v>
      </c>
      <c r="U57" s="123">
        <v>29200</v>
      </c>
      <c r="V57" s="123">
        <v>29200</v>
      </c>
      <c r="W57" s="123">
        <v>0</v>
      </c>
      <c r="X57" s="123" t="s">
        <v>324</v>
      </c>
      <c r="Y57" s="122">
        <v>45574</v>
      </c>
      <c r="Z57" s="123">
        <v>0</v>
      </c>
      <c r="AF57" s="123">
        <v>29200</v>
      </c>
    </row>
    <row r="58" spans="1:32" x14ac:dyDescent="0.3">
      <c r="A58" s="127" t="s">
        <v>337</v>
      </c>
      <c r="B58" s="128">
        <v>45574</v>
      </c>
      <c r="C58" s="127" t="s">
        <v>26</v>
      </c>
      <c r="D58" s="127" t="s">
        <v>58</v>
      </c>
      <c r="E58" s="127" t="s">
        <v>74</v>
      </c>
      <c r="F58" s="127" t="s">
        <v>468</v>
      </c>
      <c r="G58" t="s">
        <v>363</v>
      </c>
      <c r="H58">
        <v>30716688735</v>
      </c>
      <c r="I58" t="s">
        <v>142</v>
      </c>
      <c r="J58" s="127" t="s">
        <v>381</v>
      </c>
      <c r="K58" s="123">
        <v>141067.87</v>
      </c>
      <c r="L58" s="123">
        <v>0</v>
      </c>
      <c r="M58" s="123">
        <v>14812.126349999999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T58" s="123">
        <v>14812.126349999999</v>
      </c>
      <c r="U58" s="123">
        <v>155879.99635</v>
      </c>
      <c r="V58" s="123">
        <v>155879.99635</v>
      </c>
      <c r="X58" s="123" t="s">
        <v>325</v>
      </c>
    </row>
    <row r="59" spans="1:32" x14ac:dyDescent="0.3">
      <c r="A59" s="127" t="s">
        <v>337</v>
      </c>
      <c r="B59" s="128">
        <v>45574</v>
      </c>
      <c r="C59" s="127" t="s">
        <v>26</v>
      </c>
      <c r="D59" s="127" t="s">
        <v>58</v>
      </c>
      <c r="E59" s="127" t="s">
        <v>32</v>
      </c>
      <c r="F59" s="127" t="s">
        <v>225</v>
      </c>
      <c r="G59" t="s">
        <v>479</v>
      </c>
      <c r="H59">
        <v>20291360581</v>
      </c>
      <c r="I59" t="s">
        <v>480</v>
      </c>
      <c r="J59" s="127" t="s">
        <v>381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371696.85</v>
      </c>
      <c r="Q59" s="123">
        <v>0</v>
      </c>
      <c r="R59" s="123">
        <v>0</v>
      </c>
      <c r="S59" s="123">
        <v>0</v>
      </c>
      <c r="T59" s="123">
        <v>0</v>
      </c>
      <c r="U59" s="123">
        <v>371696.85</v>
      </c>
      <c r="V59" s="123">
        <v>371696.85</v>
      </c>
      <c r="W59" s="123">
        <v>0</v>
      </c>
      <c r="X59" s="123" t="s">
        <v>324</v>
      </c>
    </row>
    <row r="60" spans="1:32" x14ac:dyDescent="0.3">
      <c r="A60" s="127" t="s">
        <v>337</v>
      </c>
      <c r="B60" s="128">
        <v>45574</v>
      </c>
      <c r="C60" s="127" t="s">
        <v>454</v>
      </c>
      <c r="D60" s="127" t="s">
        <v>58</v>
      </c>
      <c r="E60" s="127" t="s">
        <v>32</v>
      </c>
      <c r="F60" s="127" t="s">
        <v>55</v>
      </c>
      <c r="G60" t="s">
        <v>479</v>
      </c>
      <c r="H60">
        <v>20291360581</v>
      </c>
      <c r="I60" t="s">
        <v>480</v>
      </c>
      <c r="J60" s="127" t="s">
        <v>381</v>
      </c>
      <c r="K60" s="123">
        <v>0</v>
      </c>
      <c r="L60" s="123">
        <v>0</v>
      </c>
      <c r="M60" s="123">
        <v>0</v>
      </c>
      <c r="N60" s="123">
        <v>0</v>
      </c>
      <c r="O60" s="123">
        <v>0</v>
      </c>
      <c r="P60" s="123">
        <v>-371696.85</v>
      </c>
      <c r="Q60" s="123">
        <v>0</v>
      </c>
      <c r="R60" s="123">
        <v>0</v>
      </c>
      <c r="S60" s="123">
        <v>0</v>
      </c>
      <c r="T60" s="123">
        <v>0</v>
      </c>
      <c r="U60" s="123">
        <v>-371696.85</v>
      </c>
      <c r="V60" s="123">
        <v>-371696.85</v>
      </c>
      <c r="W60" s="123">
        <v>0</v>
      </c>
      <c r="X60" s="123" t="s">
        <v>324</v>
      </c>
    </row>
    <row r="61" spans="1:32" x14ac:dyDescent="0.3">
      <c r="A61" s="127" t="s">
        <v>337</v>
      </c>
      <c r="B61" s="128">
        <v>45574</v>
      </c>
      <c r="C61" s="127" t="s">
        <v>26</v>
      </c>
      <c r="D61" s="127" t="s">
        <v>58</v>
      </c>
      <c r="E61" s="127" t="s">
        <v>32</v>
      </c>
      <c r="F61" s="127" t="s">
        <v>227</v>
      </c>
      <c r="G61" t="s">
        <v>479</v>
      </c>
      <c r="H61">
        <v>20291360581</v>
      </c>
      <c r="I61" t="s">
        <v>480</v>
      </c>
      <c r="J61" s="127" t="s">
        <v>381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185848.43</v>
      </c>
      <c r="Q61" s="123">
        <v>0</v>
      </c>
      <c r="S61" s="123">
        <v>0</v>
      </c>
      <c r="T61" s="123">
        <v>0</v>
      </c>
      <c r="U61" s="123">
        <v>185848.43</v>
      </c>
      <c r="V61" s="123">
        <v>185848.43</v>
      </c>
      <c r="W61" s="123">
        <v>0</v>
      </c>
      <c r="X61" s="123" t="s">
        <v>324</v>
      </c>
      <c r="Y61" s="122">
        <v>45575</v>
      </c>
      <c r="Z61" s="123">
        <v>185848.43</v>
      </c>
      <c r="AF61" s="123">
        <v>0</v>
      </c>
    </row>
    <row r="62" spans="1:32" x14ac:dyDescent="0.3">
      <c r="A62" s="127" t="s">
        <v>337</v>
      </c>
      <c r="B62" s="128">
        <v>45574</v>
      </c>
      <c r="C62" s="127" t="s">
        <v>26</v>
      </c>
      <c r="D62" s="127" t="s">
        <v>58</v>
      </c>
      <c r="E62" s="127" t="s">
        <v>32</v>
      </c>
      <c r="F62" s="127" t="s">
        <v>481</v>
      </c>
      <c r="G62" t="s">
        <v>479</v>
      </c>
      <c r="H62">
        <v>20291360581</v>
      </c>
      <c r="I62" t="s">
        <v>482</v>
      </c>
      <c r="J62" s="127" t="s">
        <v>381</v>
      </c>
      <c r="K62" s="123">
        <v>0</v>
      </c>
      <c r="L62" s="123">
        <v>0</v>
      </c>
      <c r="M62" s="123">
        <v>0</v>
      </c>
      <c r="N62" s="123">
        <v>0</v>
      </c>
      <c r="O62" s="123">
        <v>0</v>
      </c>
      <c r="P62" s="123">
        <v>147198.39000000001</v>
      </c>
      <c r="Q62" s="123">
        <v>0</v>
      </c>
      <c r="R62" s="123">
        <v>0</v>
      </c>
      <c r="S62" s="123">
        <v>0</v>
      </c>
      <c r="T62" s="123">
        <v>0</v>
      </c>
      <c r="U62" s="123">
        <v>147198.39000000001</v>
      </c>
      <c r="V62" s="123">
        <v>147198.39000000001</v>
      </c>
      <c r="W62" s="123">
        <v>0</v>
      </c>
      <c r="X62" s="123" t="s">
        <v>324</v>
      </c>
      <c r="Y62" s="122">
        <v>45575</v>
      </c>
      <c r="Z62" s="123">
        <v>147198.39000000001</v>
      </c>
      <c r="AF62" s="123">
        <v>0</v>
      </c>
    </row>
    <row r="63" spans="1:32" x14ac:dyDescent="0.3">
      <c r="A63" s="127" t="s">
        <v>337</v>
      </c>
      <c r="B63" s="128">
        <v>45574</v>
      </c>
      <c r="C63" s="127" t="s">
        <v>26</v>
      </c>
      <c r="D63" s="127" t="s">
        <v>58</v>
      </c>
      <c r="E63" s="127" t="s">
        <v>507</v>
      </c>
      <c r="F63" s="127" t="s">
        <v>508</v>
      </c>
      <c r="G63" t="s">
        <v>509</v>
      </c>
      <c r="H63">
        <v>30718871009</v>
      </c>
      <c r="I63" t="s">
        <v>510</v>
      </c>
      <c r="J63" s="127" t="s">
        <v>381</v>
      </c>
      <c r="K63" s="123">
        <v>1124164.24</v>
      </c>
      <c r="L63" s="123">
        <v>236074.49039999998</v>
      </c>
      <c r="M63" s="123">
        <v>0</v>
      </c>
      <c r="N63" s="123">
        <v>0</v>
      </c>
      <c r="O63" s="123">
        <v>0</v>
      </c>
      <c r="P63" s="123">
        <v>0</v>
      </c>
      <c r="Q63" s="123">
        <v>0</v>
      </c>
      <c r="R63" s="123">
        <v>40469.912640000002</v>
      </c>
      <c r="S63" s="123">
        <v>0</v>
      </c>
      <c r="T63" s="123">
        <v>236074.49039999998</v>
      </c>
      <c r="U63" s="123">
        <v>1400708.64304</v>
      </c>
      <c r="V63" s="123">
        <v>1400708.64304</v>
      </c>
      <c r="W63" s="123">
        <v>25893.37</v>
      </c>
      <c r="X63" s="123" t="s">
        <v>324</v>
      </c>
      <c r="Y63" s="122">
        <v>45573</v>
      </c>
      <c r="Z63" s="123">
        <v>1400708.64304</v>
      </c>
      <c r="AF63" s="123">
        <v>0</v>
      </c>
    </row>
    <row r="64" spans="1:32" x14ac:dyDescent="0.3">
      <c r="A64" s="127" t="s">
        <v>337</v>
      </c>
      <c r="B64" s="128">
        <v>45574</v>
      </c>
      <c r="C64" s="127" t="s">
        <v>26</v>
      </c>
      <c r="D64" s="127" t="s">
        <v>58</v>
      </c>
      <c r="E64" s="127" t="s">
        <v>118</v>
      </c>
      <c r="F64" s="127" t="s">
        <v>484</v>
      </c>
      <c r="G64" t="s">
        <v>120</v>
      </c>
      <c r="H64">
        <v>33707243479</v>
      </c>
      <c r="I64" t="s">
        <v>121</v>
      </c>
      <c r="J64" s="127" t="s">
        <v>381</v>
      </c>
      <c r="K64" s="123">
        <v>176859.5</v>
      </c>
      <c r="L64" s="123">
        <v>37140.494999999995</v>
      </c>
      <c r="M64" s="123">
        <v>0</v>
      </c>
      <c r="N64" s="123">
        <v>0</v>
      </c>
      <c r="O64" s="123">
        <v>0</v>
      </c>
      <c r="P64" s="123">
        <v>0</v>
      </c>
      <c r="Q64" s="123">
        <v>0</v>
      </c>
      <c r="R64" s="123">
        <v>0</v>
      </c>
      <c r="S64" s="123">
        <v>0</v>
      </c>
      <c r="T64" s="123">
        <v>37140.494999999995</v>
      </c>
      <c r="U64" s="123">
        <v>213999.995</v>
      </c>
      <c r="V64" s="123">
        <v>213999.995</v>
      </c>
      <c r="X64" s="123" t="s">
        <v>324</v>
      </c>
      <c r="Y64" s="122">
        <v>45575</v>
      </c>
      <c r="Z64" s="123">
        <v>213999.995</v>
      </c>
      <c r="AF64" s="123">
        <v>0</v>
      </c>
    </row>
    <row r="65" spans="1:32" x14ac:dyDescent="0.3">
      <c r="A65" s="127" t="s">
        <v>337</v>
      </c>
      <c r="B65" s="128">
        <v>45575</v>
      </c>
      <c r="C65" s="127" t="s">
        <v>26</v>
      </c>
      <c r="D65" s="127" t="s">
        <v>27</v>
      </c>
      <c r="E65" s="127" t="s">
        <v>37</v>
      </c>
      <c r="F65" s="127" t="s">
        <v>525</v>
      </c>
      <c r="G65" t="s">
        <v>188</v>
      </c>
      <c r="H65">
        <v>27299781688</v>
      </c>
      <c r="I65" t="s">
        <v>527</v>
      </c>
      <c r="J65" s="127" t="s">
        <v>381</v>
      </c>
      <c r="K65" s="123">
        <v>486000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>
        <v>0</v>
      </c>
      <c r="S65" s="123">
        <v>0</v>
      </c>
      <c r="T65" s="123">
        <v>0</v>
      </c>
      <c r="U65" s="123">
        <v>486000</v>
      </c>
      <c r="V65" s="123">
        <v>486000</v>
      </c>
      <c r="W65" s="123">
        <v>0</v>
      </c>
      <c r="X65" s="123" t="s">
        <v>324</v>
      </c>
      <c r="Y65" s="122">
        <v>45581</v>
      </c>
      <c r="Z65" s="123">
        <v>486000</v>
      </c>
      <c r="AF65" s="123">
        <v>0</v>
      </c>
    </row>
    <row r="66" spans="1:32" x14ac:dyDescent="0.3">
      <c r="A66" s="127" t="s">
        <v>337</v>
      </c>
      <c r="B66" s="128">
        <v>45575</v>
      </c>
      <c r="C66" s="127" t="s">
        <v>26</v>
      </c>
      <c r="D66" s="127" t="s">
        <v>58</v>
      </c>
      <c r="E66" s="127" t="s">
        <v>28</v>
      </c>
      <c r="F66" s="127" t="s">
        <v>215</v>
      </c>
      <c r="G66" t="s">
        <v>158</v>
      </c>
      <c r="H66">
        <v>30718646592</v>
      </c>
      <c r="I66" t="s">
        <v>467</v>
      </c>
      <c r="J66" s="127" t="s">
        <v>381</v>
      </c>
      <c r="K66" s="123">
        <v>661158</v>
      </c>
      <c r="L66" s="123">
        <v>138843.18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</v>
      </c>
      <c r="S66" s="123">
        <v>0</v>
      </c>
      <c r="T66" s="123">
        <v>138843.18</v>
      </c>
      <c r="U66" s="123">
        <v>800001.17999999993</v>
      </c>
      <c r="V66" s="123">
        <v>800001.17999999993</v>
      </c>
      <c r="X66" s="123" t="s">
        <v>324</v>
      </c>
      <c r="Y66" s="122">
        <v>45555</v>
      </c>
      <c r="Z66" s="123">
        <v>800001.17999999993</v>
      </c>
      <c r="AF66" s="123">
        <v>0</v>
      </c>
    </row>
    <row r="67" spans="1:32" x14ac:dyDescent="0.3">
      <c r="A67" s="127" t="s">
        <v>337</v>
      </c>
      <c r="B67" s="128">
        <v>45575</v>
      </c>
      <c r="C67" s="127" t="s">
        <v>26</v>
      </c>
      <c r="D67" s="127" t="s">
        <v>58</v>
      </c>
      <c r="E67" s="127" t="s">
        <v>32</v>
      </c>
      <c r="F67" s="127" t="s">
        <v>474</v>
      </c>
      <c r="G67" t="s">
        <v>146</v>
      </c>
      <c r="H67">
        <v>33716385359</v>
      </c>
      <c r="I67" t="s">
        <v>142</v>
      </c>
      <c r="J67" s="127" t="s">
        <v>381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240000</v>
      </c>
      <c r="Q67" s="123">
        <v>0</v>
      </c>
      <c r="R67" s="123">
        <v>8640.0000000000018</v>
      </c>
      <c r="S67" s="123">
        <v>0</v>
      </c>
      <c r="T67" s="123">
        <v>0</v>
      </c>
      <c r="U67" s="123">
        <v>248640</v>
      </c>
      <c r="V67" s="123">
        <v>248640</v>
      </c>
      <c r="X67" s="123" t="s">
        <v>325</v>
      </c>
    </row>
    <row r="68" spans="1:32" x14ac:dyDescent="0.3">
      <c r="A68" s="127" t="s">
        <v>337</v>
      </c>
      <c r="B68" s="128">
        <v>45575</v>
      </c>
      <c r="C68" s="127" t="s">
        <v>26</v>
      </c>
      <c r="D68" s="127" t="s">
        <v>27</v>
      </c>
      <c r="E68" s="127" t="s">
        <v>28</v>
      </c>
      <c r="F68" s="127" t="s">
        <v>528</v>
      </c>
      <c r="G68" t="s">
        <v>186</v>
      </c>
      <c r="H68">
        <v>27383412361</v>
      </c>
      <c r="I68" t="s">
        <v>523</v>
      </c>
      <c r="J68" s="127" t="s">
        <v>381</v>
      </c>
      <c r="K68" s="123">
        <v>403200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403200</v>
      </c>
      <c r="V68" s="123">
        <v>403200</v>
      </c>
      <c r="W68" s="123">
        <v>0</v>
      </c>
      <c r="X68" s="123" t="s">
        <v>324</v>
      </c>
      <c r="Y68" s="122">
        <v>45581</v>
      </c>
      <c r="Z68" s="123">
        <v>403200</v>
      </c>
      <c r="AF68" s="123">
        <v>0</v>
      </c>
    </row>
    <row r="69" spans="1:32" x14ac:dyDescent="0.3">
      <c r="A69" s="127" t="s">
        <v>337</v>
      </c>
      <c r="B69" s="128">
        <v>45575</v>
      </c>
      <c r="C69" s="127" t="s">
        <v>26</v>
      </c>
      <c r="D69" s="127" t="s">
        <v>27</v>
      </c>
      <c r="E69" s="127" t="s">
        <v>28</v>
      </c>
      <c r="F69" s="127" t="s">
        <v>176</v>
      </c>
      <c r="G69" t="s">
        <v>170</v>
      </c>
      <c r="H69">
        <v>20356277490</v>
      </c>
      <c r="I69" t="s">
        <v>517</v>
      </c>
      <c r="J69" s="127" t="s">
        <v>381</v>
      </c>
      <c r="K69" s="123">
        <v>601200</v>
      </c>
      <c r="L69" s="123">
        <v>0</v>
      </c>
      <c r="M69" s="123">
        <v>0</v>
      </c>
      <c r="N69" s="123">
        <v>0</v>
      </c>
      <c r="O69" s="123">
        <v>0</v>
      </c>
      <c r="P69" s="123">
        <v>0</v>
      </c>
      <c r="Q69" s="123">
        <v>0</v>
      </c>
      <c r="R69" s="123">
        <v>0</v>
      </c>
      <c r="S69" s="123">
        <v>0</v>
      </c>
      <c r="T69" s="123">
        <v>0</v>
      </c>
      <c r="U69" s="123">
        <v>601200</v>
      </c>
      <c r="V69" s="123">
        <v>601200</v>
      </c>
      <c r="W69" s="123">
        <v>0</v>
      </c>
      <c r="X69" s="123" t="s">
        <v>324</v>
      </c>
      <c r="Y69" s="122">
        <v>45581</v>
      </c>
      <c r="Z69" s="123">
        <v>601200</v>
      </c>
      <c r="AF69" s="123">
        <v>0</v>
      </c>
    </row>
    <row r="70" spans="1:32" x14ac:dyDescent="0.3">
      <c r="A70" s="127" t="s">
        <v>337</v>
      </c>
      <c r="B70" s="128">
        <v>45575</v>
      </c>
      <c r="C70" s="127" t="s">
        <v>26</v>
      </c>
      <c r="D70" s="127" t="s">
        <v>27</v>
      </c>
      <c r="E70" s="127" t="s">
        <v>28</v>
      </c>
      <c r="F70" s="127" t="s">
        <v>29</v>
      </c>
      <c r="G70" t="s">
        <v>170</v>
      </c>
      <c r="H70">
        <v>20356277490</v>
      </c>
      <c r="I70" t="s">
        <v>518</v>
      </c>
      <c r="J70" s="127" t="s">
        <v>381</v>
      </c>
      <c r="K70" s="123">
        <v>823200</v>
      </c>
      <c r="L70" s="123">
        <v>0</v>
      </c>
      <c r="M70" s="123">
        <v>0</v>
      </c>
      <c r="N70" s="123">
        <v>0</v>
      </c>
      <c r="O70" s="123">
        <v>0</v>
      </c>
      <c r="P70" s="123">
        <v>0</v>
      </c>
      <c r="Q70" s="123">
        <v>0</v>
      </c>
      <c r="R70" s="123">
        <v>0</v>
      </c>
      <c r="S70" s="123">
        <v>0</v>
      </c>
      <c r="T70" s="123">
        <v>0</v>
      </c>
      <c r="U70" s="123">
        <v>823200</v>
      </c>
      <c r="V70" s="123">
        <v>823200</v>
      </c>
      <c r="W70" s="123">
        <v>0</v>
      </c>
      <c r="X70" s="123" t="s">
        <v>324</v>
      </c>
      <c r="Y70" s="122">
        <v>45581</v>
      </c>
      <c r="Z70" s="123">
        <v>823200</v>
      </c>
      <c r="AF70" s="123">
        <v>0</v>
      </c>
    </row>
    <row r="71" spans="1:32" x14ac:dyDescent="0.3">
      <c r="A71" s="127" t="s">
        <v>337</v>
      </c>
      <c r="B71" s="128">
        <v>45575</v>
      </c>
      <c r="C71" s="127" t="s">
        <v>26</v>
      </c>
      <c r="D71" s="127" t="s">
        <v>27</v>
      </c>
      <c r="E71" s="127" t="s">
        <v>28</v>
      </c>
      <c r="F71" s="127" t="s">
        <v>182</v>
      </c>
      <c r="G71" t="s">
        <v>144</v>
      </c>
      <c r="H71">
        <v>20306367553</v>
      </c>
      <c r="I71" t="s">
        <v>527</v>
      </c>
      <c r="J71" s="127" t="s">
        <v>381</v>
      </c>
      <c r="K71" s="123">
        <v>201600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0</v>
      </c>
      <c r="S71" s="123">
        <v>0</v>
      </c>
      <c r="T71" s="123">
        <v>0</v>
      </c>
      <c r="U71" s="123">
        <v>201600</v>
      </c>
      <c r="V71" s="123">
        <v>201600</v>
      </c>
      <c r="W71" s="123">
        <v>0</v>
      </c>
      <c r="X71" s="123" t="s">
        <v>324</v>
      </c>
      <c r="Y71" s="122">
        <v>45581</v>
      </c>
      <c r="Z71" s="123">
        <v>201600</v>
      </c>
      <c r="AF71" s="123">
        <v>0</v>
      </c>
    </row>
    <row r="72" spans="1:32" x14ac:dyDescent="0.3">
      <c r="A72" s="127" t="s">
        <v>337</v>
      </c>
      <c r="B72" s="128">
        <v>45575</v>
      </c>
      <c r="C72" s="127" t="s">
        <v>26</v>
      </c>
      <c r="D72" s="127" t="s">
        <v>27</v>
      </c>
      <c r="E72" s="127" t="s">
        <v>37</v>
      </c>
      <c r="F72" s="127" t="s">
        <v>524</v>
      </c>
      <c r="G72" t="s">
        <v>190</v>
      </c>
      <c r="H72">
        <v>27299177683</v>
      </c>
      <c r="I72" t="s">
        <v>523</v>
      </c>
      <c r="J72" s="127" t="s">
        <v>381</v>
      </c>
      <c r="K72" s="123">
        <v>216000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</v>
      </c>
      <c r="S72" s="123">
        <v>0</v>
      </c>
      <c r="T72" s="123">
        <v>0</v>
      </c>
      <c r="U72" s="123">
        <v>216000</v>
      </c>
      <c r="V72" s="123">
        <v>216000</v>
      </c>
      <c r="W72" s="123">
        <v>0</v>
      </c>
      <c r="X72" s="123" t="s">
        <v>324</v>
      </c>
      <c r="Y72" s="122">
        <v>45581</v>
      </c>
      <c r="Z72" s="123">
        <v>216000</v>
      </c>
      <c r="AF72" s="123">
        <v>0</v>
      </c>
    </row>
    <row r="73" spans="1:32" x14ac:dyDescent="0.3">
      <c r="A73" s="127" t="s">
        <v>337</v>
      </c>
      <c r="B73" s="128">
        <v>45576</v>
      </c>
      <c r="C73" s="127" t="s">
        <v>26</v>
      </c>
      <c r="D73" s="127" t="s">
        <v>27</v>
      </c>
      <c r="E73" s="127" t="s">
        <v>28</v>
      </c>
      <c r="F73" s="127" t="s">
        <v>41</v>
      </c>
      <c r="G73" t="s">
        <v>451</v>
      </c>
      <c r="H73">
        <v>20957725563</v>
      </c>
      <c r="I73" t="s">
        <v>523</v>
      </c>
      <c r="J73" s="127" t="s">
        <v>381</v>
      </c>
      <c r="K73" s="123">
        <v>300000</v>
      </c>
      <c r="L73" s="123">
        <v>0</v>
      </c>
      <c r="M73" s="123">
        <v>0</v>
      </c>
      <c r="N73" s="123">
        <v>0</v>
      </c>
      <c r="O73" s="123">
        <v>0</v>
      </c>
      <c r="P73" s="123">
        <v>0</v>
      </c>
      <c r="Q73" s="123">
        <v>0</v>
      </c>
      <c r="R73" s="123">
        <v>0</v>
      </c>
      <c r="S73" s="123">
        <v>0</v>
      </c>
      <c r="T73" s="123">
        <v>0</v>
      </c>
      <c r="U73" s="123">
        <v>300000</v>
      </c>
      <c r="V73" s="123">
        <v>300000</v>
      </c>
      <c r="W73" s="123">
        <v>0</v>
      </c>
      <c r="X73" s="123" t="s">
        <v>324</v>
      </c>
      <c r="Y73" s="122">
        <v>45581</v>
      </c>
      <c r="Z73" s="123">
        <v>300000</v>
      </c>
      <c r="AF73" s="123">
        <v>0</v>
      </c>
    </row>
    <row r="74" spans="1:32" x14ac:dyDescent="0.3">
      <c r="A74" s="127" t="s">
        <v>337</v>
      </c>
      <c r="B74" s="128">
        <v>45576</v>
      </c>
      <c r="C74" s="127" t="s">
        <v>26</v>
      </c>
      <c r="D74" s="127" t="s">
        <v>27</v>
      </c>
      <c r="E74" s="127" t="s">
        <v>37</v>
      </c>
      <c r="F74" s="127" t="s">
        <v>223</v>
      </c>
      <c r="G74" t="s">
        <v>179</v>
      </c>
      <c r="H74">
        <v>27405241760</v>
      </c>
      <c r="I74" t="s">
        <v>517</v>
      </c>
      <c r="J74" s="127" t="s">
        <v>381</v>
      </c>
      <c r="K74" s="123">
        <v>403200</v>
      </c>
      <c r="L74" s="123">
        <v>0</v>
      </c>
      <c r="M74" s="123">
        <v>0</v>
      </c>
      <c r="N74" s="123">
        <v>0</v>
      </c>
      <c r="O74" s="123">
        <v>0</v>
      </c>
      <c r="P74" s="123">
        <v>0</v>
      </c>
      <c r="Q74" s="123">
        <v>0</v>
      </c>
      <c r="R74" s="123">
        <v>0</v>
      </c>
      <c r="S74" s="123">
        <v>0</v>
      </c>
      <c r="T74" s="123">
        <v>0</v>
      </c>
      <c r="U74" s="123">
        <v>403200</v>
      </c>
      <c r="V74" s="123">
        <v>403200</v>
      </c>
      <c r="W74" s="123">
        <v>0</v>
      </c>
      <c r="X74" s="123" t="s">
        <v>324</v>
      </c>
      <c r="Y74" s="122">
        <v>45581</v>
      </c>
      <c r="Z74" s="123">
        <v>403200</v>
      </c>
      <c r="AF74" s="123">
        <v>0</v>
      </c>
    </row>
    <row r="75" spans="1:32" x14ac:dyDescent="0.3">
      <c r="A75" s="127" t="s">
        <v>337</v>
      </c>
      <c r="B75" s="128">
        <v>45576</v>
      </c>
      <c r="C75" s="127" t="s">
        <v>26</v>
      </c>
      <c r="D75" s="127" t="s">
        <v>27</v>
      </c>
      <c r="E75" s="127" t="s">
        <v>28</v>
      </c>
      <c r="F75" s="127" t="s">
        <v>582</v>
      </c>
      <c r="G75" t="s">
        <v>583</v>
      </c>
      <c r="H75">
        <v>20213192850</v>
      </c>
      <c r="I75" t="s">
        <v>584</v>
      </c>
      <c r="J75" s="127" t="s">
        <v>381</v>
      </c>
      <c r="K75" s="123">
        <v>115000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0</v>
      </c>
      <c r="T75" s="123">
        <v>0</v>
      </c>
      <c r="U75" s="123">
        <v>115000</v>
      </c>
      <c r="V75" s="123">
        <v>115000</v>
      </c>
      <c r="W75" s="123">
        <v>0</v>
      </c>
      <c r="X75" s="123" t="s">
        <v>324</v>
      </c>
      <c r="Y75" s="122">
        <v>45583</v>
      </c>
      <c r="Z75" s="123">
        <v>115000</v>
      </c>
      <c r="AF75" s="123">
        <v>0</v>
      </c>
    </row>
    <row r="76" spans="1:32" x14ac:dyDescent="0.3">
      <c r="A76" s="127" t="s">
        <v>337</v>
      </c>
      <c r="B76" s="128">
        <v>45577</v>
      </c>
      <c r="C76" s="127" t="s">
        <v>26</v>
      </c>
      <c r="D76" s="127" t="s">
        <v>58</v>
      </c>
      <c r="E76" s="127" t="s">
        <v>340</v>
      </c>
      <c r="F76" s="127" t="s">
        <v>634</v>
      </c>
      <c r="G76" t="s">
        <v>61</v>
      </c>
      <c r="H76">
        <v>30716375184</v>
      </c>
      <c r="I76" t="s">
        <v>62</v>
      </c>
      <c r="J76" s="127" t="s">
        <v>381</v>
      </c>
      <c r="K76" s="123">
        <v>10829.72</v>
      </c>
      <c r="L76" s="123">
        <v>2274.2411999999999</v>
      </c>
      <c r="M76" s="123">
        <v>0</v>
      </c>
      <c r="N76" s="123">
        <v>0</v>
      </c>
      <c r="O76" s="123">
        <v>0</v>
      </c>
      <c r="P76" s="123">
        <v>0</v>
      </c>
      <c r="Q76" s="123">
        <v>0</v>
      </c>
      <c r="R76" s="123">
        <v>0</v>
      </c>
      <c r="S76" s="123">
        <v>0</v>
      </c>
      <c r="T76" s="123">
        <v>2274.2411999999999</v>
      </c>
      <c r="U76" s="123">
        <v>13103.9612</v>
      </c>
      <c r="V76" s="123">
        <v>13103.9612</v>
      </c>
      <c r="W76" s="123">
        <v>0</v>
      </c>
      <c r="X76" s="123" t="s">
        <v>324</v>
      </c>
      <c r="Y76" s="122">
        <v>45577</v>
      </c>
      <c r="Z76" s="123">
        <v>0</v>
      </c>
      <c r="AF76" s="123">
        <v>13103.9612</v>
      </c>
    </row>
    <row r="77" spans="1:32" x14ac:dyDescent="0.3">
      <c r="A77" s="127" t="s">
        <v>337</v>
      </c>
      <c r="B77" s="128">
        <v>45577</v>
      </c>
      <c r="C77" s="127" t="s">
        <v>26</v>
      </c>
      <c r="D77" s="127" t="s">
        <v>58</v>
      </c>
      <c r="E77" s="127" t="s">
        <v>64</v>
      </c>
      <c r="F77" s="127" t="s">
        <v>633</v>
      </c>
      <c r="G77" t="s">
        <v>66</v>
      </c>
      <c r="H77">
        <v>30673770483</v>
      </c>
      <c r="I77" t="s">
        <v>62</v>
      </c>
      <c r="J77" s="127" t="s">
        <v>381</v>
      </c>
      <c r="K77" s="123">
        <v>14978.94</v>
      </c>
      <c r="L77" s="123">
        <v>3145.5774000000001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539.24184000000014</v>
      </c>
      <c r="S77" s="123">
        <v>0</v>
      </c>
      <c r="T77" s="123">
        <v>3145.5774000000001</v>
      </c>
      <c r="U77" s="123">
        <v>18663.759239999999</v>
      </c>
      <c r="V77" s="123">
        <v>18663.759239999999</v>
      </c>
      <c r="W77" s="123">
        <v>0</v>
      </c>
      <c r="X77" s="123" t="s">
        <v>324</v>
      </c>
      <c r="Y77" s="122">
        <v>45577</v>
      </c>
      <c r="Z77" s="123">
        <v>0</v>
      </c>
      <c r="AF77" s="123">
        <v>18663.759239999999</v>
      </c>
    </row>
    <row r="78" spans="1:32" x14ac:dyDescent="0.3">
      <c r="A78" s="127" t="s">
        <v>337</v>
      </c>
      <c r="B78" s="128">
        <v>45578</v>
      </c>
      <c r="C78" s="127" t="s">
        <v>26</v>
      </c>
      <c r="D78" s="127" t="s">
        <v>58</v>
      </c>
      <c r="E78" s="127" t="s">
        <v>32</v>
      </c>
      <c r="F78" s="127" t="s">
        <v>505</v>
      </c>
      <c r="G78" t="s">
        <v>194</v>
      </c>
      <c r="H78">
        <v>20215810977</v>
      </c>
      <c r="I78" t="s">
        <v>560</v>
      </c>
      <c r="J78" s="127" t="s">
        <v>381</v>
      </c>
      <c r="K78" s="123">
        <v>76859.5</v>
      </c>
      <c r="L78" s="123">
        <v>16140.494999999999</v>
      </c>
      <c r="M78" s="123">
        <v>0</v>
      </c>
      <c r="N78" s="123">
        <v>0</v>
      </c>
      <c r="O78" s="123">
        <v>0</v>
      </c>
      <c r="P78" s="123">
        <v>0</v>
      </c>
      <c r="Q78" s="123">
        <v>0</v>
      </c>
      <c r="R78" s="123">
        <v>0</v>
      </c>
      <c r="S78" s="123">
        <v>0</v>
      </c>
      <c r="T78" s="123">
        <v>16140.494999999999</v>
      </c>
      <c r="U78" s="123">
        <v>92999.994999999995</v>
      </c>
      <c r="V78" s="123">
        <v>92999.994999999995</v>
      </c>
      <c r="W78" s="123">
        <v>0</v>
      </c>
      <c r="X78" s="123" t="s">
        <v>324</v>
      </c>
      <c r="Y78" s="122">
        <v>45580</v>
      </c>
      <c r="Z78" s="123">
        <v>92999.994999999995</v>
      </c>
      <c r="AF78" s="123">
        <v>0</v>
      </c>
    </row>
    <row r="79" spans="1:32" x14ac:dyDescent="0.3">
      <c r="A79" s="127" t="s">
        <v>337</v>
      </c>
      <c r="B79" s="128">
        <v>45579</v>
      </c>
      <c r="C79" s="127" t="s">
        <v>26</v>
      </c>
      <c r="D79" s="127" t="s">
        <v>58</v>
      </c>
      <c r="E79" s="127" t="s">
        <v>37</v>
      </c>
      <c r="F79" s="127" t="s">
        <v>761</v>
      </c>
      <c r="G79" t="s">
        <v>752</v>
      </c>
      <c r="H79">
        <v>33717008419</v>
      </c>
      <c r="I79" t="s">
        <v>753</v>
      </c>
      <c r="J79" s="127" t="s">
        <v>381</v>
      </c>
      <c r="K79" s="123">
        <v>47995.87</v>
      </c>
      <c r="L79" s="123">
        <v>10079.1327</v>
      </c>
      <c r="M79" s="123">
        <v>0</v>
      </c>
      <c r="N79" s="123">
        <v>0</v>
      </c>
      <c r="O79" s="123">
        <v>0</v>
      </c>
      <c r="P79" s="123">
        <v>0</v>
      </c>
      <c r="Q79" s="123">
        <v>0</v>
      </c>
      <c r="R79" s="123">
        <v>0</v>
      </c>
      <c r="S79" s="123">
        <v>0</v>
      </c>
      <c r="T79" s="123">
        <v>10079.1327</v>
      </c>
      <c r="U79" s="123">
        <v>58075.002700000005</v>
      </c>
      <c r="V79" s="123">
        <v>58075.002700000005</v>
      </c>
      <c r="W79" s="123">
        <v>0</v>
      </c>
      <c r="X79" s="123" t="s">
        <v>324</v>
      </c>
      <c r="Y79" s="122">
        <v>45579</v>
      </c>
      <c r="Z79" s="123">
        <v>0</v>
      </c>
      <c r="AF79" s="123">
        <v>58075.002700000005</v>
      </c>
    </row>
    <row r="80" spans="1:32" x14ac:dyDescent="0.3">
      <c r="A80" s="127" t="s">
        <v>337</v>
      </c>
      <c r="B80" s="128">
        <v>45579</v>
      </c>
      <c r="C80" s="127" t="s">
        <v>26</v>
      </c>
      <c r="D80" s="127" t="s">
        <v>58</v>
      </c>
      <c r="E80" s="127" t="s">
        <v>37</v>
      </c>
      <c r="F80" s="127" t="s">
        <v>760</v>
      </c>
      <c r="G80" t="s">
        <v>752</v>
      </c>
      <c r="H80">
        <v>33717008419</v>
      </c>
      <c r="I80" t="s">
        <v>762</v>
      </c>
      <c r="J80" s="127" t="s">
        <v>381</v>
      </c>
      <c r="K80" s="123">
        <v>6617.81</v>
      </c>
      <c r="L80" s="123">
        <v>1389.7401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0</v>
      </c>
      <c r="T80" s="123">
        <v>1389.7401</v>
      </c>
      <c r="U80" s="123">
        <v>8007.5501000000004</v>
      </c>
      <c r="V80" s="123">
        <v>8007.5501000000004</v>
      </c>
      <c r="W80" s="123">
        <v>0</v>
      </c>
      <c r="X80" s="123" t="s">
        <v>324</v>
      </c>
      <c r="Y80" s="122">
        <v>45579</v>
      </c>
      <c r="Z80" s="123">
        <v>0</v>
      </c>
      <c r="AF80" s="123">
        <v>8007.5501000000004</v>
      </c>
    </row>
    <row r="81" spans="1:32" x14ac:dyDescent="0.3">
      <c r="A81" s="127" t="s">
        <v>337</v>
      </c>
      <c r="B81" s="128">
        <v>45579</v>
      </c>
      <c r="C81" s="127" t="s">
        <v>26</v>
      </c>
      <c r="D81" s="127" t="s">
        <v>58</v>
      </c>
      <c r="E81" s="127" t="s">
        <v>200</v>
      </c>
      <c r="F81" s="127" t="s">
        <v>754</v>
      </c>
      <c r="G81" t="s">
        <v>444</v>
      </c>
      <c r="H81">
        <v>20202328734</v>
      </c>
      <c r="I81" t="s">
        <v>715</v>
      </c>
      <c r="J81" s="127" t="s">
        <v>381</v>
      </c>
      <c r="K81" s="123">
        <v>7900.83</v>
      </c>
      <c r="L81" s="123">
        <v>1659.1742999999999</v>
      </c>
      <c r="M81" s="123">
        <v>0</v>
      </c>
      <c r="N81" s="123">
        <v>0</v>
      </c>
      <c r="O81" s="123">
        <v>0</v>
      </c>
      <c r="P81" s="123">
        <v>0</v>
      </c>
      <c r="Q81" s="123">
        <v>0</v>
      </c>
      <c r="R81" s="123">
        <v>0</v>
      </c>
      <c r="S81" s="123">
        <v>0</v>
      </c>
      <c r="T81" s="123">
        <v>1659.1742999999999</v>
      </c>
      <c r="U81" s="123">
        <v>9560.0043000000005</v>
      </c>
      <c r="V81" s="123">
        <v>9560.0043000000005</v>
      </c>
      <c r="W81" s="123">
        <v>0</v>
      </c>
      <c r="X81" s="123" t="s">
        <v>324</v>
      </c>
      <c r="Y81" s="122">
        <v>45579</v>
      </c>
      <c r="Z81" s="123">
        <v>0</v>
      </c>
      <c r="AF81" s="123">
        <v>9560.0043000000005</v>
      </c>
    </row>
    <row r="82" spans="1:32" x14ac:dyDescent="0.3">
      <c r="A82" s="127" t="s">
        <v>337</v>
      </c>
      <c r="B82" s="128">
        <v>45579</v>
      </c>
      <c r="C82" s="127" t="s">
        <v>26</v>
      </c>
      <c r="D82" s="127" t="s">
        <v>27</v>
      </c>
      <c r="E82" s="127" t="s">
        <v>32</v>
      </c>
      <c r="F82" s="127" t="s">
        <v>531</v>
      </c>
      <c r="G82" t="s">
        <v>532</v>
      </c>
      <c r="H82">
        <v>20279055196</v>
      </c>
      <c r="I82" t="s">
        <v>533</v>
      </c>
      <c r="J82" s="127" t="s">
        <v>381</v>
      </c>
      <c r="K82" s="123">
        <v>555000</v>
      </c>
      <c r="L82" s="123">
        <v>0</v>
      </c>
      <c r="M82" s="123">
        <v>0</v>
      </c>
      <c r="N82" s="123">
        <v>0</v>
      </c>
      <c r="O82" s="123">
        <v>0</v>
      </c>
      <c r="P82" s="123">
        <v>0</v>
      </c>
      <c r="Q82" s="123">
        <v>0</v>
      </c>
      <c r="R82" s="123">
        <v>0</v>
      </c>
      <c r="S82" s="123">
        <v>0</v>
      </c>
      <c r="T82" s="123">
        <v>0</v>
      </c>
      <c r="U82" s="123">
        <v>555000</v>
      </c>
      <c r="V82" s="123">
        <v>555000</v>
      </c>
      <c r="W82" s="123">
        <v>0</v>
      </c>
      <c r="X82" s="123" t="s">
        <v>324</v>
      </c>
      <c r="Y82" s="122">
        <v>45581</v>
      </c>
      <c r="Z82" s="123">
        <v>555000</v>
      </c>
      <c r="AF82" s="123">
        <v>0</v>
      </c>
    </row>
    <row r="83" spans="1:32" x14ac:dyDescent="0.3">
      <c r="A83" s="127" t="s">
        <v>337</v>
      </c>
      <c r="B83" s="128">
        <v>45579</v>
      </c>
      <c r="C83" s="127" t="s">
        <v>26</v>
      </c>
      <c r="D83" s="127" t="s">
        <v>58</v>
      </c>
      <c r="E83" s="127" t="s">
        <v>67</v>
      </c>
      <c r="F83" s="127" t="s">
        <v>502</v>
      </c>
      <c r="G83" t="s">
        <v>503</v>
      </c>
      <c r="H83">
        <v>20085386205</v>
      </c>
      <c r="I83" t="s">
        <v>504</v>
      </c>
      <c r="J83" s="127" t="s">
        <v>381</v>
      </c>
      <c r="K83" s="123">
        <v>31487.599999999999</v>
      </c>
      <c r="L83" s="123">
        <v>6612.3959999999997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  <c r="R83" s="123">
        <v>0</v>
      </c>
      <c r="S83" s="123">
        <v>0</v>
      </c>
      <c r="T83" s="123">
        <v>6612.3959999999997</v>
      </c>
      <c r="U83" s="123">
        <v>38099.995999999999</v>
      </c>
      <c r="V83" s="123">
        <v>38099.995999999999</v>
      </c>
      <c r="X83" s="123" t="s">
        <v>324</v>
      </c>
      <c r="Y83" s="122">
        <v>45579</v>
      </c>
      <c r="Z83" s="123">
        <v>38099.995999999999</v>
      </c>
      <c r="AF83" s="123">
        <v>0</v>
      </c>
    </row>
    <row r="84" spans="1:32" x14ac:dyDescent="0.3">
      <c r="A84" s="127" t="s">
        <v>337</v>
      </c>
      <c r="B84" s="128">
        <v>45579</v>
      </c>
      <c r="C84" s="127" t="s">
        <v>26</v>
      </c>
      <c r="D84" s="127" t="s">
        <v>27</v>
      </c>
      <c r="E84" s="127" t="s">
        <v>37</v>
      </c>
      <c r="F84" s="127" t="s">
        <v>632</v>
      </c>
      <c r="G84" t="s">
        <v>78</v>
      </c>
      <c r="H84">
        <v>20105424605</v>
      </c>
      <c r="I84" t="s">
        <v>277</v>
      </c>
      <c r="J84" s="127" t="s">
        <v>381</v>
      </c>
      <c r="K84" s="123">
        <v>360</v>
      </c>
      <c r="L84" s="123">
        <v>0</v>
      </c>
      <c r="M84" s="123">
        <v>0</v>
      </c>
      <c r="N84" s="123">
        <v>0</v>
      </c>
      <c r="O84" s="123">
        <v>0</v>
      </c>
      <c r="P84" s="123">
        <v>0</v>
      </c>
      <c r="Q84" s="123">
        <v>0</v>
      </c>
      <c r="R84" s="123">
        <v>0</v>
      </c>
      <c r="S84" s="123">
        <v>0</v>
      </c>
      <c r="T84" s="123">
        <v>0</v>
      </c>
      <c r="U84" s="123">
        <v>360</v>
      </c>
      <c r="V84" s="123">
        <v>360</v>
      </c>
      <c r="W84" s="123">
        <v>0</v>
      </c>
      <c r="X84" s="123" t="s">
        <v>324</v>
      </c>
      <c r="Y84" s="122">
        <v>45579</v>
      </c>
      <c r="Z84" s="123">
        <v>0</v>
      </c>
      <c r="AF84" s="123">
        <v>360</v>
      </c>
    </row>
    <row r="85" spans="1:32" x14ac:dyDescent="0.3">
      <c r="A85" s="127" t="s">
        <v>337</v>
      </c>
      <c r="B85" s="128">
        <v>45579</v>
      </c>
      <c r="C85" s="127" t="s">
        <v>26</v>
      </c>
      <c r="D85" s="127" t="s">
        <v>58</v>
      </c>
      <c r="E85" s="127" t="s">
        <v>507</v>
      </c>
      <c r="F85" s="127" t="s">
        <v>764</v>
      </c>
      <c r="G85" t="s">
        <v>763</v>
      </c>
      <c r="H85">
        <v>30709867578</v>
      </c>
      <c r="I85" t="s">
        <v>96</v>
      </c>
      <c r="J85" s="127" t="s">
        <v>381</v>
      </c>
      <c r="K85" s="123">
        <v>25702.48</v>
      </c>
      <c r="L85" s="123">
        <v>5397.5207999999993</v>
      </c>
      <c r="M85" s="123">
        <v>0</v>
      </c>
      <c r="N85" s="123">
        <v>0</v>
      </c>
      <c r="O85" s="123">
        <v>0</v>
      </c>
      <c r="P85" s="123">
        <v>0</v>
      </c>
      <c r="Q85" s="123">
        <v>0</v>
      </c>
      <c r="R85" s="123">
        <v>0</v>
      </c>
      <c r="S85" s="123">
        <v>0</v>
      </c>
      <c r="T85" s="123">
        <v>5397.5207999999993</v>
      </c>
      <c r="U85" s="123">
        <v>31100.000799999998</v>
      </c>
      <c r="V85" s="123">
        <v>31100.000799999998</v>
      </c>
      <c r="W85" s="123">
        <v>0</v>
      </c>
      <c r="X85" s="123" t="s">
        <v>324</v>
      </c>
      <c r="Y85" s="122">
        <v>45579</v>
      </c>
      <c r="Z85" s="123">
        <v>0</v>
      </c>
      <c r="AF85" s="123">
        <v>31100.000799999998</v>
      </c>
    </row>
    <row r="86" spans="1:32" x14ac:dyDescent="0.3">
      <c r="A86" s="127" t="s">
        <v>337</v>
      </c>
      <c r="B86" s="128">
        <v>45579</v>
      </c>
      <c r="C86" s="127" t="s">
        <v>26</v>
      </c>
      <c r="D86" s="127" t="s">
        <v>58</v>
      </c>
      <c r="E86" s="127" t="s">
        <v>507</v>
      </c>
      <c r="F86" s="127" t="s">
        <v>511</v>
      </c>
      <c r="G86" t="s">
        <v>509</v>
      </c>
      <c r="H86">
        <v>30718871009</v>
      </c>
      <c r="I86" t="s">
        <v>510</v>
      </c>
      <c r="J86" s="127" t="s">
        <v>381</v>
      </c>
      <c r="K86" s="123">
        <v>72941.34</v>
      </c>
      <c r="L86" s="123">
        <v>15317.681399999999</v>
      </c>
      <c r="M86" s="123">
        <v>0</v>
      </c>
      <c r="N86" s="123">
        <v>0</v>
      </c>
      <c r="O86" s="123">
        <v>0</v>
      </c>
      <c r="P86" s="123">
        <v>0</v>
      </c>
      <c r="Q86" s="123">
        <v>0</v>
      </c>
      <c r="R86" s="123">
        <v>2625.8882400000002</v>
      </c>
      <c r="S86" s="123">
        <v>0</v>
      </c>
      <c r="T86" s="123">
        <v>15317.681399999999</v>
      </c>
      <c r="U86" s="123">
        <v>90884.909639999998</v>
      </c>
      <c r="V86" s="123">
        <v>90884.909639999998</v>
      </c>
      <c r="W86" s="123">
        <v>0</v>
      </c>
      <c r="X86" s="123" t="s">
        <v>324</v>
      </c>
      <c r="Y86" s="122">
        <v>45573</v>
      </c>
      <c r="Z86" s="123">
        <v>90884.909639999998</v>
      </c>
      <c r="AF86" s="123">
        <v>0</v>
      </c>
    </row>
    <row r="87" spans="1:32" x14ac:dyDescent="0.3">
      <c r="A87" s="127" t="s">
        <v>337</v>
      </c>
      <c r="B87" s="128">
        <v>45580</v>
      </c>
      <c r="C87" s="127" t="s">
        <v>26</v>
      </c>
      <c r="D87" s="127" t="s">
        <v>27</v>
      </c>
      <c r="E87" s="127" t="s">
        <v>37</v>
      </c>
      <c r="F87" s="127" t="s">
        <v>515</v>
      </c>
      <c r="G87" t="s">
        <v>393</v>
      </c>
      <c r="H87">
        <v>27328052887</v>
      </c>
      <c r="I87" t="s">
        <v>516</v>
      </c>
      <c r="J87" s="127" t="s">
        <v>381</v>
      </c>
      <c r="K87" s="123">
        <v>729600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729600</v>
      </c>
      <c r="V87" s="123">
        <v>729600</v>
      </c>
      <c r="W87" s="123">
        <v>0</v>
      </c>
      <c r="X87" s="123" t="s">
        <v>324</v>
      </c>
      <c r="Y87" s="122">
        <v>45581</v>
      </c>
      <c r="Z87" s="123">
        <v>729600</v>
      </c>
      <c r="AF87" s="123">
        <v>0</v>
      </c>
    </row>
    <row r="88" spans="1:32" x14ac:dyDescent="0.3">
      <c r="A88" s="127" t="s">
        <v>337</v>
      </c>
      <c r="B88" s="128">
        <v>45580</v>
      </c>
      <c r="C88" s="127" t="s">
        <v>26</v>
      </c>
      <c r="D88" s="127" t="s">
        <v>27</v>
      </c>
      <c r="E88" s="127" t="s">
        <v>37</v>
      </c>
      <c r="F88" s="127" t="s">
        <v>558</v>
      </c>
      <c r="G88" t="s">
        <v>393</v>
      </c>
      <c r="H88">
        <v>27328052887</v>
      </c>
      <c r="I88" t="s">
        <v>559</v>
      </c>
      <c r="J88" s="127" t="s">
        <v>381</v>
      </c>
      <c r="K88" s="123">
        <v>100000</v>
      </c>
      <c r="L88" s="123">
        <v>0</v>
      </c>
      <c r="M88" s="123">
        <v>0</v>
      </c>
      <c r="N88" s="123">
        <v>0</v>
      </c>
      <c r="O88" s="123">
        <v>0</v>
      </c>
      <c r="P88" s="123">
        <v>0</v>
      </c>
      <c r="Q88" s="123">
        <v>0</v>
      </c>
      <c r="R88" s="123">
        <v>0</v>
      </c>
      <c r="S88" s="123">
        <v>0</v>
      </c>
      <c r="T88" s="123">
        <v>0</v>
      </c>
      <c r="U88" s="123">
        <v>100000</v>
      </c>
      <c r="V88" s="123">
        <v>100000</v>
      </c>
      <c r="W88" s="123">
        <v>0</v>
      </c>
      <c r="X88" s="123" t="s">
        <v>325</v>
      </c>
    </row>
    <row r="89" spans="1:32" x14ac:dyDescent="0.3">
      <c r="A89" s="127" t="s">
        <v>337</v>
      </c>
      <c r="B89" s="128">
        <v>45580</v>
      </c>
      <c r="C89" s="127" t="s">
        <v>26</v>
      </c>
      <c r="D89" s="127" t="s">
        <v>27</v>
      </c>
      <c r="E89" s="127" t="s">
        <v>28</v>
      </c>
      <c r="F89" s="127" t="s">
        <v>185</v>
      </c>
      <c r="G89" t="s">
        <v>162</v>
      </c>
      <c r="H89">
        <v>20407752458</v>
      </c>
      <c r="I89" t="s">
        <v>514</v>
      </c>
      <c r="J89" s="127" t="s">
        <v>381</v>
      </c>
      <c r="K89" s="123">
        <v>1048000</v>
      </c>
      <c r="L89" s="123">
        <v>0</v>
      </c>
      <c r="M89" s="123">
        <v>0</v>
      </c>
      <c r="N89" s="123">
        <v>0</v>
      </c>
      <c r="O89" s="123">
        <v>0</v>
      </c>
      <c r="P89" s="123">
        <v>0</v>
      </c>
      <c r="Q89" s="123">
        <v>0</v>
      </c>
      <c r="R89" s="123">
        <v>0</v>
      </c>
      <c r="S89" s="123">
        <v>0</v>
      </c>
      <c r="T89" s="123">
        <v>0</v>
      </c>
      <c r="U89" s="123">
        <v>1048000</v>
      </c>
      <c r="V89" s="123">
        <v>1048000</v>
      </c>
      <c r="W89" s="123">
        <v>0</v>
      </c>
      <c r="X89" s="123" t="s">
        <v>324</v>
      </c>
      <c r="Y89" s="122">
        <v>45581</v>
      </c>
      <c r="Z89" s="123">
        <v>1048000</v>
      </c>
      <c r="AF89" s="123">
        <v>0</v>
      </c>
    </row>
    <row r="90" spans="1:32" x14ac:dyDescent="0.3">
      <c r="A90" s="127" t="s">
        <v>337</v>
      </c>
      <c r="B90" s="128">
        <v>45580</v>
      </c>
      <c r="C90" s="127" t="s">
        <v>26</v>
      </c>
      <c r="D90" s="127" t="s">
        <v>58</v>
      </c>
      <c r="E90" s="127" t="s">
        <v>74</v>
      </c>
      <c r="F90" s="127" t="s">
        <v>683</v>
      </c>
      <c r="G90" t="s">
        <v>80</v>
      </c>
      <c r="H90">
        <v>20138455654</v>
      </c>
      <c r="I90" t="s">
        <v>81</v>
      </c>
      <c r="J90" s="127" t="s">
        <v>381</v>
      </c>
      <c r="K90" s="123">
        <v>5537.19</v>
      </c>
      <c r="L90" s="123">
        <v>1162.8099</v>
      </c>
      <c r="M90" s="123">
        <v>0</v>
      </c>
      <c r="N90" s="123">
        <v>0</v>
      </c>
      <c r="O90" s="123">
        <v>0</v>
      </c>
      <c r="P90" s="123">
        <v>0</v>
      </c>
      <c r="Q90" s="123">
        <v>0</v>
      </c>
      <c r="R90" s="123">
        <v>0</v>
      </c>
      <c r="S90" s="123">
        <v>0</v>
      </c>
      <c r="T90" s="123">
        <v>1162.8099</v>
      </c>
      <c r="U90" s="123">
        <v>6699.9998999999998</v>
      </c>
      <c r="V90" s="123">
        <v>6700</v>
      </c>
      <c r="W90" s="123">
        <v>0</v>
      </c>
      <c r="X90" s="123" t="s">
        <v>324</v>
      </c>
      <c r="Y90" s="122">
        <v>45580</v>
      </c>
      <c r="Z90" s="123">
        <v>0</v>
      </c>
      <c r="AF90" s="123">
        <v>6700</v>
      </c>
    </row>
    <row r="91" spans="1:32" x14ac:dyDescent="0.3">
      <c r="A91" s="127" t="s">
        <v>337</v>
      </c>
      <c r="B91" s="128">
        <v>45580</v>
      </c>
      <c r="C91" s="127" t="s">
        <v>26</v>
      </c>
      <c r="D91" s="127" t="s">
        <v>27</v>
      </c>
      <c r="E91" s="127" t="s">
        <v>28</v>
      </c>
      <c r="F91" s="127" t="s">
        <v>247</v>
      </c>
      <c r="G91" t="s">
        <v>31</v>
      </c>
      <c r="H91">
        <v>27386533550</v>
      </c>
      <c r="I91" t="s">
        <v>539</v>
      </c>
      <c r="J91" s="127" t="s">
        <v>381</v>
      </c>
      <c r="K91" s="123">
        <v>496000</v>
      </c>
      <c r="L91" s="123">
        <v>0</v>
      </c>
      <c r="M91" s="123">
        <v>0</v>
      </c>
      <c r="N91" s="123">
        <v>0</v>
      </c>
      <c r="O91" s="123">
        <v>0</v>
      </c>
      <c r="P91" s="123">
        <v>0</v>
      </c>
      <c r="Q91" s="123">
        <v>0</v>
      </c>
      <c r="R91" s="123">
        <v>0</v>
      </c>
      <c r="S91" s="123">
        <v>0</v>
      </c>
      <c r="T91" s="123">
        <v>0</v>
      </c>
      <c r="U91" s="123">
        <v>496000</v>
      </c>
      <c r="V91" s="123">
        <v>496000</v>
      </c>
      <c r="W91" s="123">
        <v>0</v>
      </c>
      <c r="X91" s="123" t="s">
        <v>324</v>
      </c>
      <c r="Y91" s="122">
        <v>45582</v>
      </c>
      <c r="Z91" s="123">
        <v>496000</v>
      </c>
      <c r="AF91" s="123">
        <v>0</v>
      </c>
    </row>
    <row r="92" spans="1:32" x14ac:dyDescent="0.3">
      <c r="A92" s="127" t="s">
        <v>337</v>
      </c>
      <c r="B92" s="128">
        <v>45580</v>
      </c>
      <c r="C92" s="127" t="s">
        <v>434</v>
      </c>
      <c r="D92" s="127" t="s">
        <v>403</v>
      </c>
      <c r="E92" s="127" t="s">
        <v>28</v>
      </c>
      <c r="F92" s="127" t="s">
        <v>562</v>
      </c>
      <c r="G92" t="s">
        <v>406</v>
      </c>
      <c r="H92">
        <v>30111111111</v>
      </c>
      <c r="I92" t="s">
        <v>405</v>
      </c>
      <c r="J92" s="127" t="s">
        <v>381</v>
      </c>
      <c r="K92" s="123">
        <v>15000</v>
      </c>
      <c r="L92" s="123">
        <v>0</v>
      </c>
      <c r="M92" s="123">
        <v>0</v>
      </c>
      <c r="N92" s="123">
        <v>0</v>
      </c>
      <c r="O92" s="123">
        <v>0</v>
      </c>
      <c r="P92" s="123">
        <v>0</v>
      </c>
      <c r="Q92" s="123">
        <v>0</v>
      </c>
      <c r="R92" s="123">
        <v>0</v>
      </c>
      <c r="S92" s="123">
        <v>0</v>
      </c>
      <c r="T92" s="123">
        <v>0</v>
      </c>
      <c r="U92" s="123">
        <v>15000</v>
      </c>
      <c r="V92" s="123">
        <v>15000</v>
      </c>
      <c r="W92" s="123">
        <v>0</v>
      </c>
      <c r="X92" s="123" t="s">
        <v>324</v>
      </c>
      <c r="Y92" s="122">
        <v>45580</v>
      </c>
      <c r="Z92" s="123">
        <v>0</v>
      </c>
      <c r="AF92" s="123">
        <v>15000</v>
      </c>
    </row>
    <row r="93" spans="1:32" x14ac:dyDescent="0.3">
      <c r="A93" s="127" t="s">
        <v>337</v>
      </c>
      <c r="B93" s="128">
        <v>45580</v>
      </c>
      <c r="C93" s="127" t="s">
        <v>26</v>
      </c>
      <c r="D93" s="127" t="s">
        <v>27</v>
      </c>
      <c r="E93" s="127" t="s">
        <v>28</v>
      </c>
      <c r="F93" s="127" t="s">
        <v>404</v>
      </c>
      <c r="G93" t="s">
        <v>168</v>
      </c>
      <c r="H93">
        <v>27362344072</v>
      </c>
      <c r="I93" t="s">
        <v>520</v>
      </c>
      <c r="J93" s="127" t="s">
        <v>381</v>
      </c>
      <c r="K93" s="123">
        <v>693600</v>
      </c>
      <c r="L93" s="123">
        <v>0</v>
      </c>
      <c r="M93" s="123">
        <v>0</v>
      </c>
      <c r="N93" s="123">
        <v>0</v>
      </c>
      <c r="O93" s="123">
        <v>0</v>
      </c>
      <c r="P93" s="123">
        <v>0</v>
      </c>
      <c r="Q93" s="123">
        <v>0</v>
      </c>
      <c r="R93" s="123">
        <v>0</v>
      </c>
      <c r="S93" s="123">
        <v>0</v>
      </c>
      <c r="T93" s="123">
        <v>0</v>
      </c>
      <c r="U93" s="123">
        <v>693600</v>
      </c>
      <c r="V93" s="123">
        <v>693600</v>
      </c>
      <c r="W93" s="123">
        <v>0</v>
      </c>
      <c r="X93" s="123" t="s">
        <v>324</v>
      </c>
      <c r="Y93" s="122">
        <v>45581</v>
      </c>
      <c r="Z93" s="123">
        <v>693600</v>
      </c>
      <c r="AF93" s="123">
        <v>0</v>
      </c>
    </row>
    <row r="94" spans="1:32" x14ac:dyDescent="0.3">
      <c r="A94" s="127" t="s">
        <v>337</v>
      </c>
      <c r="B94" s="128">
        <v>45580</v>
      </c>
      <c r="C94" s="127" t="s">
        <v>26</v>
      </c>
      <c r="D94" s="127" t="s">
        <v>27</v>
      </c>
      <c r="E94" s="127" t="s">
        <v>37</v>
      </c>
      <c r="F94" s="127" t="s">
        <v>432</v>
      </c>
      <c r="G94" t="s">
        <v>175</v>
      </c>
      <c r="H94">
        <v>20385006226</v>
      </c>
      <c r="I94" t="s">
        <v>513</v>
      </c>
      <c r="J94" s="127" t="s">
        <v>381</v>
      </c>
      <c r="K94" s="123">
        <v>548400</v>
      </c>
      <c r="L94" s="123">
        <v>0</v>
      </c>
      <c r="M94" s="123">
        <v>0</v>
      </c>
      <c r="N94" s="123">
        <v>0</v>
      </c>
      <c r="O94" s="123">
        <v>0</v>
      </c>
      <c r="P94" s="123">
        <v>0</v>
      </c>
      <c r="Q94" s="123">
        <v>0</v>
      </c>
      <c r="R94" s="123">
        <v>0</v>
      </c>
      <c r="S94" s="123">
        <v>0</v>
      </c>
      <c r="T94" s="123">
        <v>0</v>
      </c>
      <c r="U94" s="123">
        <v>548400</v>
      </c>
      <c r="V94" s="123">
        <v>548400</v>
      </c>
      <c r="W94" s="123">
        <v>0</v>
      </c>
      <c r="X94" s="123" t="s">
        <v>324</v>
      </c>
      <c r="Y94" s="122">
        <v>45581</v>
      </c>
      <c r="Z94" s="123">
        <v>548400</v>
      </c>
      <c r="AF94" s="123">
        <v>0</v>
      </c>
    </row>
    <row r="95" spans="1:32" x14ac:dyDescent="0.3">
      <c r="A95" s="127" t="s">
        <v>337</v>
      </c>
      <c r="B95" s="128">
        <v>45580</v>
      </c>
      <c r="C95" s="127" t="s">
        <v>410</v>
      </c>
      <c r="D95" s="127" t="s">
        <v>58</v>
      </c>
      <c r="E95" s="127" t="s">
        <v>37</v>
      </c>
      <c r="F95" s="127" t="s">
        <v>616</v>
      </c>
      <c r="G95" t="s">
        <v>412</v>
      </c>
      <c r="H95">
        <v>30629233144</v>
      </c>
      <c r="I95" t="s">
        <v>617</v>
      </c>
      <c r="J95" s="127" t="s">
        <v>381</v>
      </c>
      <c r="K95" s="123">
        <v>1095000</v>
      </c>
      <c r="L95" s="123">
        <v>0</v>
      </c>
      <c r="M95" s="123">
        <v>114975</v>
      </c>
      <c r="N95" s="123">
        <v>0</v>
      </c>
      <c r="O95" s="123">
        <v>0</v>
      </c>
      <c r="P95" s="123">
        <v>0</v>
      </c>
      <c r="Q95" s="123">
        <v>0</v>
      </c>
      <c r="R95" s="123">
        <v>0</v>
      </c>
      <c r="S95" s="123">
        <v>0</v>
      </c>
      <c r="T95" s="123">
        <v>114975</v>
      </c>
      <c r="U95" s="123">
        <v>1209975</v>
      </c>
      <c r="V95" s="123">
        <v>1209975</v>
      </c>
      <c r="W95" s="123">
        <v>21900</v>
      </c>
      <c r="X95" s="123" t="s">
        <v>324</v>
      </c>
      <c r="Y95" s="122">
        <v>45589</v>
      </c>
      <c r="Z95" s="123">
        <v>1188075</v>
      </c>
      <c r="AF95" s="123">
        <v>0</v>
      </c>
    </row>
    <row r="96" spans="1:32" x14ac:dyDescent="0.3">
      <c r="A96" s="127" t="s">
        <v>337</v>
      </c>
      <c r="B96" s="128">
        <v>45580</v>
      </c>
      <c r="C96" s="127" t="s">
        <v>26</v>
      </c>
      <c r="D96" s="127" t="s">
        <v>58</v>
      </c>
      <c r="E96" s="127" t="s">
        <v>37</v>
      </c>
      <c r="F96" s="127" t="s">
        <v>667</v>
      </c>
      <c r="G96" t="s">
        <v>661</v>
      </c>
      <c r="H96">
        <v>20203998091</v>
      </c>
      <c r="I96" t="s">
        <v>142</v>
      </c>
      <c r="J96" s="127" t="s">
        <v>381</v>
      </c>
      <c r="K96" s="123">
        <v>0</v>
      </c>
      <c r="L96" s="123">
        <v>0</v>
      </c>
      <c r="M96" s="123">
        <v>0</v>
      </c>
      <c r="N96" s="123">
        <v>0</v>
      </c>
      <c r="O96" s="123">
        <v>0</v>
      </c>
      <c r="P96" s="123">
        <v>820000</v>
      </c>
      <c r="Q96" s="123">
        <v>0</v>
      </c>
      <c r="R96" s="123">
        <v>0</v>
      </c>
      <c r="S96" s="123">
        <v>0</v>
      </c>
      <c r="T96" s="123">
        <v>0</v>
      </c>
      <c r="U96" s="123">
        <v>820000</v>
      </c>
      <c r="V96" s="123">
        <v>820000</v>
      </c>
      <c r="X96" s="123" t="s">
        <v>325</v>
      </c>
    </row>
    <row r="97" spans="1:32" x14ac:dyDescent="0.3">
      <c r="A97" s="127" t="s">
        <v>337</v>
      </c>
      <c r="B97" s="128">
        <v>45580</v>
      </c>
      <c r="C97" s="127" t="s">
        <v>26</v>
      </c>
      <c r="D97" s="127" t="s">
        <v>27</v>
      </c>
      <c r="E97" s="127" t="s">
        <v>28</v>
      </c>
      <c r="F97" s="127" t="s">
        <v>432</v>
      </c>
      <c r="G97" t="s">
        <v>183</v>
      </c>
      <c r="H97">
        <v>20352639606</v>
      </c>
      <c r="I97" t="s">
        <v>517</v>
      </c>
      <c r="J97" s="127" t="s">
        <v>381</v>
      </c>
      <c r="K97" s="123">
        <v>1074000</v>
      </c>
      <c r="L97" s="123">
        <v>0</v>
      </c>
      <c r="M97" s="123">
        <v>0</v>
      </c>
      <c r="N97" s="123">
        <v>0</v>
      </c>
      <c r="O97" s="123">
        <v>0</v>
      </c>
      <c r="P97" s="123">
        <v>0</v>
      </c>
      <c r="Q97" s="123">
        <v>0</v>
      </c>
      <c r="R97" s="123">
        <v>0</v>
      </c>
      <c r="S97" s="123">
        <v>0</v>
      </c>
      <c r="T97" s="123">
        <v>0</v>
      </c>
      <c r="U97" s="123">
        <v>1074000</v>
      </c>
      <c r="V97" s="123">
        <v>1074000</v>
      </c>
      <c r="W97" s="123">
        <v>0</v>
      </c>
      <c r="X97" s="123" t="s">
        <v>324</v>
      </c>
      <c r="Y97" s="122">
        <v>45581</v>
      </c>
      <c r="Z97" s="123">
        <v>1074000</v>
      </c>
      <c r="AF97" s="123">
        <v>0</v>
      </c>
    </row>
    <row r="98" spans="1:32" x14ac:dyDescent="0.3">
      <c r="A98" s="127" t="s">
        <v>337</v>
      </c>
      <c r="B98" s="128">
        <v>45580</v>
      </c>
      <c r="C98" s="127" t="s">
        <v>26</v>
      </c>
      <c r="D98" s="127" t="s">
        <v>58</v>
      </c>
      <c r="E98" s="127" t="s">
        <v>639</v>
      </c>
      <c r="F98" s="127" t="s">
        <v>684</v>
      </c>
      <c r="G98" t="s">
        <v>202</v>
      </c>
      <c r="H98">
        <v>33715472649</v>
      </c>
      <c r="I98" t="s">
        <v>203</v>
      </c>
      <c r="J98" s="127" t="s">
        <v>381</v>
      </c>
      <c r="K98" s="123">
        <v>21090.91</v>
      </c>
      <c r="L98" s="123">
        <v>4429.0910999999996</v>
      </c>
      <c r="M98" s="123">
        <v>0</v>
      </c>
      <c r="N98" s="123">
        <v>0</v>
      </c>
      <c r="O98" s="123">
        <v>0</v>
      </c>
      <c r="P98" s="123">
        <v>0</v>
      </c>
      <c r="Q98" s="123">
        <v>0</v>
      </c>
      <c r="R98" s="123">
        <v>759.27276000000006</v>
      </c>
      <c r="S98" s="123">
        <v>0</v>
      </c>
      <c r="T98" s="123">
        <v>4429.0910999999996</v>
      </c>
      <c r="U98" s="123">
        <v>26279.273860000001</v>
      </c>
      <c r="V98" s="123">
        <v>26279.273860000001</v>
      </c>
      <c r="W98" s="123">
        <v>0</v>
      </c>
      <c r="X98" s="123" t="s">
        <v>324</v>
      </c>
      <c r="Y98" s="122">
        <v>45580</v>
      </c>
      <c r="Z98" s="123">
        <v>0</v>
      </c>
      <c r="AF98" s="123">
        <v>26279.273860000001</v>
      </c>
    </row>
    <row r="99" spans="1:32" x14ac:dyDescent="0.3">
      <c r="A99" s="127" t="s">
        <v>337</v>
      </c>
      <c r="B99" s="128">
        <v>45580</v>
      </c>
      <c r="C99" s="127" t="s">
        <v>26</v>
      </c>
      <c r="D99" s="127" t="s">
        <v>27</v>
      </c>
      <c r="E99" s="127" t="s">
        <v>28</v>
      </c>
      <c r="F99" s="127" t="s">
        <v>176</v>
      </c>
      <c r="G99" t="s">
        <v>537</v>
      </c>
      <c r="H99">
        <v>23386529744</v>
      </c>
      <c r="I99" t="s">
        <v>539</v>
      </c>
      <c r="J99" s="127" t="s">
        <v>381</v>
      </c>
      <c r="K99" s="123">
        <v>496000</v>
      </c>
      <c r="L99" s="123">
        <v>0</v>
      </c>
      <c r="M99" s="123">
        <v>0</v>
      </c>
      <c r="N99" s="123">
        <v>0</v>
      </c>
      <c r="O99" s="123">
        <v>0</v>
      </c>
      <c r="P99" s="123">
        <v>0</v>
      </c>
      <c r="Q99" s="123">
        <v>0</v>
      </c>
      <c r="R99" s="123">
        <v>0</v>
      </c>
      <c r="S99" s="123">
        <v>0</v>
      </c>
      <c r="T99" s="123">
        <v>0</v>
      </c>
      <c r="U99" s="123">
        <v>496000</v>
      </c>
      <c r="V99" s="123">
        <v>496000</v>
      </c>
      <c r="W99" s="123">
        <v>0</v>
      </c>
      <c r="X99" s="123" t="s">
        <v>324</v>
      </c>
      <c r="Y99" s="122">
        <v>45582</v>
      </c>
      <c r="Z99" s="123">
        <v>496000</v>
      </c>
      <c r="AF99" s="123">
        <v>0</v>
      </c>
    </row>
    <row r="100" spans="1:32" x14ac:dyDescent="0.3">
      <c r="A100" s="127" t="s">
        <v>337</v>
      </c>
      <c r="B100" s="128">
        <v>45580</v>
      </c>
      <c r="C100" s="127" t="s">
        <v>26</v>
      </c>
      <c r="D100" s="127" t="s">
        <v>27</v>
      </c>
      <c r="E100" s="127" t="s">
        <v>28</v>
      </c>
      <c r="F100" s="127" t="s">
        <v>540</v>
      </c>
      <c r="G100" t="s">
        <v>243</v>
      </c>
      <c r="H100">
        <v>27422057906</v>
      </c>
      <c r="I100" t="s">
        <v>541</v>
      </c>
      <c r="J100" s="127" t="s">
        <v>381</v>
      </c>
      <c r="K100" s="123">
        <v>90000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90000</v>
      </c>
      <c r="V100" s="123">
        <v>90000</v>
      </c>
      <c r="W100" s="123">
        <v>0</v>
      </c>
      <c r="X100" s="123" t="s">
        <v>324</v>
      </c>
      <c r="Y100" s="122">
        <v>45582</v>
      </c>
      <c r="Z100" s="123">
        <v>90000</v>
      </c>
      <c r="AF100" s="123">
        <v>0</v>
      </c>
    </row>
    <row r="101" spans="1:32" x14ac:dyDescent="0.3">
      <c r="A101" s="127" t="s">
        <v>337</v>
      </c>
      <c r="B101" s="128">
        <v>45580</v>
      </c>
      <c r="C101" s="127" t="s">
        <v>26</v>
      </c>
      <c r="D101" s="127" t="s">
        <v>27</v>
      </c>
      <c r="E101" s="127" t="s">
        <v>32</v>
      </c>
      <c r="F101" s="127" t="s">
        <v>167</v>
      </c>
      <c r="G101" t="s">
        <v>34</v>
      </c>
      <c r="H101">
        <v>27260306680</v>
      </c>
      <c r="I101" t="s">
        <v>596</v>
      </c>
      <c r="J101" s="127" t="s">
        <v>381</v>
      </c>
      <c r="K101" s="123">
        <v>400000</v>
      </c>
      <c r="L101" s="123">
        <v>0</v>
      </c>
      <c r="M101" s="123">
        <v>0</v>
      </c>
      <c r="N101" s="123">
        <v>0</v>
      </c>
      <c r="O101" s="123">
        <v>0</v>
      </c>
      <c r="P101" s="123">
        <v>0</v>
      </c>
      <c r="Q101" s="123">
        <v>0</v>
      </c>
      <c r="R101" s="123">
        <v>0</v>
      </c>
      <c r="S101" s="123">
        <v>0</v>
      </c>
      <c r="T101" s="123">
        <v>0</v>
      </c>
      <c r="U101" s="123">
        <v>400000</v>
      </c>
      <c r="V101" s="123">
        <v>400000</v>
      </c>
      <c r="W101" s="123">
        <v>0</v>
      </c>
      <c r="X101" s="123" t="s">
        <v>324</v>
      </c>
      <c r="Y101" s="122">
        <v>45582</v>
      </c>
      <c r="Z101" s="123">
        <v>400000</v>
      </c>
      <c r="AF101" s="123">
        <v>0</v>
      </c>
    </row>
    <row r="102" spans="1:32" x14ac:dyDescent="0.3">
      <c r="A102" s="127" t="s">
        <v>337</v>
      </c>
      <c r="B102" s="128">
        <v>45580</v>
      </c>
      <c r="C102" s="127" t="s">
        <v>26</v>
      </c>
      <c r="D102" s="127" t="s">
        <v>27</v>
      </c>
      <c r="E102" s="127" t="s">
        <v>32</v>
      </c>
      <c r="F102" s="127" t="s">
        <v>535</v>
      </c>
      <c r="G102" t="s">
        <v>34</v>
      </c>
      <c r="H102">
        <v>27260306680</v>
      </c>
      <c r="I102" t="s">
        <v>536</v>
      </c>
      <c r="J102" s="127" t="s">
        <v>381</v>
      </c>
      <c r="K102" s="123">
        <v>432000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</v>
      </c>
      <c r="R102" s="123">
        <v>0</v>
      </c>
      <c r="S102" s="123">
        <v>0</v>
      </c>
      <c r="T102" s="123">
        <v>0</v>
      </c>
      <c r="U102" s="123">
        <v>432000</v>
      </c>
      <c r="V102" s="123">
        <v>432000</v>
      </c>
      <c r="W102" s="123">
        <v>0</v>
      </c>
      <c r="X102" s="123" t="s">
        <v>324</v>
      </c>
      <c r="Y102" s="122">
        <v>45582</v>
      </c>
      <c r="Z102" s="123">
        <v>432000</v>
      </c>
      <c r="AF102" s="123">
        <v>0</v>
      </c>
    </row>
    <row r="103" spans="1:32" x14ac:dyDescent="0.3">
      <c r="A103" s="127" t="s">
        <v>337</v>
      </c>
      <c r="B103" s="128">
        <v>45581</v>
      </c>
      <c r="C103" s="127" t="s">
        <v>26</v>
      </c>
      <c r="D103" s="127" t="s">
        <v>27</v>
      </c>
      <c r="E103" s="127" t="s">
        <v>37</v>
      </c>
      <c r="F103" s="127" t="s">
        <v>407</v>
      </c>
      <c r="G103" t="s">
        <v>42</v>
      </c>
      <c r="H103">
        <v>23332501879</v>
      </c>
      <c r="I103" t="s">
        <v>561</v>
      </c>
      <c r="J103" s="127" t="s">
        <v>381</v>
      </c>
      <c r="K103" s="123">
        <v>448800</v>
      </c>
      <c r="L103" s="123">
        <v>0</v>
      </c>
      <c r="M103" s="123">
        <v>0</v>
      </c>
      <c r="N103" s="123">
        <v>0</v>
      </c>
      <c r="O103" s="123">
        <v>0</v>
      </c>
      <c r="P103" s="123">
        <v>0</v>
      </c>
      <c r="Q103" s="123">
        <v>0</v>
      </c>
      <c r="R103" s="123">
        <v>0</v>
      </c>
      <c r="S103" s="123">
        <v>0</v>
      </c>
      <c r="T103" s="123">
        <v>0</v>
      </c>
      <c r="U103" s="123">
        <v>448800</v>
      </c>
      <c r="V103" s="123">
        <v>448800</v>
      </c>
      <c r="W103" s="123">
        <v>0</v>
      </c>
      <c r="X103" s="123" t="s">
        <v>324</v>
      </c>
      <c r="Y103" s="122">
        <v>45582</v>
      </c>
      <c r="Z103" s="123">
        <v>448800</v>
      </c>
      <c r="AF103" s="123">
        <v>0</v>
      </c>
    </row>
    <row r="104" spans="1:32" x14ac:dyDescent="0.3">
      <c r="A104" s="127" t="s">
        <v>337</v>
      </c>
      <c r="B104" s="128">
        <v>45581</v>
      </c>
      <c r="C104" s="127" t="s">
        <v>26</v>
      </c>
      <c r="D104" s="127" t="s">
        <v>27</v>
      </c>
      <c r="E104" s="127" t="s">
        <v>37</v>
      </c>
      <c r="F104" s="127" t="s">
        <v>157</v>
      </c>
      <c r="G104" t="s">
        <v>181</v>
      </c>
      <c r="H104">
        <v>20952983106</v>
      </c>
      <c r="I104" t="s">
        <v>517</v>
      </c>
      <c r="J104" s="127" t="s">
        <v>381</v>
      </c>
      <c r="K104" s="123">
        <v>207600</v>
      </c>
      <c r="L104" s="123">
        <v>0</v>
      </c>
      <c r="M104" s="123">
        <v>0</v>
      </c>
      <c r="N104" s="123">
        <v>0</v>
      </c>
      <c r="O104" s="123">
        <v>0</v>
      </c>
      <c r="P104" s="123">
        <v>0</v>
      </c>
      <c r="Q104" s="123">
        <v>0</v>
      </c>
      <c r="R104" s="123">
        <v>0</v>
      </c>
      <c r="S104" s="123">
        <v>0</v>
      </c>
      <c r="T104" s="123">
        <v>0</v>
      </c>
      <c r="U104" s="123">
        <v>207600</v>
      </c>
      <c r="V104" s="123">
        <v>207600</v>
      </c>
      <c r="W104" s="123">
        <v>0</v>
      </c>
      <c r="X104" s="123" t="s">
        <v>324</v>
      </c>
      <c r="Y104" s="122">
        <v>45581</v>
      </c>
      <c r="Z104" s="123">
        <v>207600</v>
      </c>
      <c r="AF104" s="123">
        <v>0</v>
      </c>
    </row>
    <row r="105" spans="1:32" x14ac:dyDescent="0.3">
      <c r="A105" s="127" t="s">
        <v>337</v>
      </c>
      <c r="B105" s="128">
        <v>45581</v>
      </c>
      <c r="C105" s="127" t="s">
        <v>26</v>
      </c>
      <c r="D105" s="127" t="s">
        <v>27</v>
      </c>
      <c r="E105" s="127" t="s">
        <v>28</v>
      </c>
      <c r="F105" s="127" t="s">
        <v>29</v>
      </c>
      <c r="G105" t="s">
        <v>249</v>
      </c>
      <c r="H105">
        <v>27414097087</v>
      </c>
      <c r="I105" t="s">
        <v>545</v>
      </c>
      <c r="J105" s="127" t="s">
        <v>381</v>
      </c>
      <c r="K105" s="123">
        <v>48000</v>
      </c>
      <c r="L105" s="123">
        <v>0</v>
      </c>
      <c r="M105" s="123">
        <v>0</v>
      </c>
      <c r="N105" s="123">
        <v>0</v>
      </c>
      <c r="O105" s="123">
        <v>0</v>
      </c>
      <c r="P105" s="123">
        <v>0</v>
      </c>
      <c r="Q105" s="123">
        <v>0</v>
      </c>
      <c r="R105" s="123">
        <v>0</v>
      </c>
      <c r="S105" s="123">
        <v>0</v>
      </c>
      <c r="T105" s="123">
        <v>0</v>
      </c>
      <c r="U105" s="123">
        <v>48000</v>
      </c>
      <c r="V105" s="123">
        <v>48000</v>
      </c>
      <c r="W105" s="123">
        <v>0</v>
      </c>
      <c r="X105" s="123" t="s">
        <v>324</v>
      </c>
      <c r="Y105" s="122">
        <v>45582</v>
      </c>
      <c r="Z105" s="123">
        <v>48000</v>
      </c>
      <c r="AF105" s="123">
        <v>0</v>
      </c>
    </row>
    <row r="106" spans="1:32" x14ac:dyDescent="0.3">
      <c r="A106" s="127" t="s">
        <v>337</v>
      </c>
      <c r="B106" s="128">
        <v>45581</v>
      </c>
      <c r="C106" s="127" t="s">
        <v>26</v>
      </c>
      <c r="D106" s="127" t="s">
        <v>27</v>
      </c>
      <c r="E106" s="127" t="s">
        <v>28</v>
      </c>
      <c r="F106" s="127" t="s">
        <v>215</v>
      </c>
      <c r="G106" t="s">
        <v>521</v>
      </c>
      <c r="H106">
        <v>20399039569</v>
      </c>
      <c r="I106" t="s">
        <v>520</v>
      </c>
      <c r="J106" s="127" t="s">
        <v>381</v>
      </c>
      <c r="K106" s="123">
        <v>2118000</v>
      </c>
      <c r="L106" s="123">
        <v>0</v>
      </c>
      <c r="M106" s="123">
        <v>0</v>
      </c>
      <c r="N106" s="123">
        <v>0</v>
      </c>
      <c r="O106" s="123">
        <v>0</v>
      </c>
      <c r="P106" s="123">
        <v>0</v>
      </c>
      <c r="Q106" s="123">
        <v>0</v>
      </c>
      <c r="R106" s="123">
        <v>0</v>
      </c>
      <c r="S106" s="123">
        <v>0</v>
      </c>
      <c r="T106" s="123">
        <v>0</v>
      </c>
      <c r="U106" s="123">
        <v>2118000</v>
      </c>
      <c r="V106" s="123">
        <v>2118000</v>
      </c>
      <c r="W106" s="123">
        <v>0</v>
      </c>
      <c r="X106" s="123" t="s">
        <v>324</v>
      </c>
      <c r="Y106" s="122">
        <v>45581</v>
      </c>
      <c r="Z106" s="123">
        <v>2118000</v>
      </c>
      <c r="AF106" s="123">
        <v>0</v>
      </c>
    </row>
    <row r="107" spans="1:32" x14ac:dyDescent="0.3">
      <c r="A107" s="127" t="s">
        <v>337</v>
      </c>
      <c r="B107" s="128">
        <v>45581</v>
      </c>
      <c r="C107" s="127" t="s">
        <v>26</v>
      </c>
      <c r="D107" s="127" t="s">
        <v>27</v>
      </c>
      <c r="E107" s="127" t="s">
        <v>28</v>
      </c>
      <c r="F107" s="127" t="s">
        <v>568</v>
      </c>
      <c r="G107" t="s">
        <v>44</v>
      </c>
      <c r="H107">
        <v>27346203647</v>
      </c>
      <c r="I107" t="s">
        <v>576</v>
      </c>
      <c r="J107" s="127" t="s">
        <v>381</v>
      </c>
      <c r="K107" s="123">
        <v>409600</v>
      </c>
      <c r="L107" s="123">
        <v>0</v>
      </c>
      <c r="M107" s="123">
        <v>0</v>
      </c>
      <c r="N107" s="123">
        <v>0</v>
      </c>
      <c r="O107" s="123">
        <v>0</v>
      </c>
      <c r="P107" s="123">
        <v>0</v>
      </c>
      <c r="Q107" s="123">
        <v>0</v>
      </c>
      <c r="R107" s="123">
        <v>0</v>
      </c>
      <c r="S107" s="123">
        <v>0</v>
      </c>
      <c r="T107" s="123">
        <v>0</v>
      </c>
      <c r="U107" s="123">
        <v>409600</v>
      </c>
      <c r="V107" s="123">
        <v>409600</v>
      </c>
      <c r="W107" s="123">
        <v>0</v>
      </c>
      <c r="X107" s="123" t="s">
        <v>324</v>
      </c>
      <c r="Y107" s="122">
        <v>45583</v>
      </c>
      <c r="Z107" s="123">
        <v>0</v>
      </c>
      <c r="AF107" s="123">
        <v>0</v>
      </c>
    </row>
    <row r="108" spans="1:32" x14ac:dyDescent="0.3">
      <c r="A108" s="127" t="s">
        <v>337</v>
      </c>
      <c r="B108" s="128">
        <v>45581</v>
      </c>
      <c r="C108" s="127" t="s">
        <v>454</v>
      </c>
      <c r="D108" s="127" t="s">
        <v>27</v>
      </c>
      <c r="E108" s="127" t="s">
        <v>28</v>
      </c>
      <c r="F108" s="127" t="s">
        <v>215</v>
      </c>
      <c r="G108" t="s">
        <v>44</v>
      </c>
      <c r="H108">
        <v>27346203647</v>
      </c>
      <c r="I108" t="s">
        <v>578</v>
      </c>
      <c r="J108" s="127" t="s">
        <v>381</v>
      </c>
      <c r="K108" s="123">
        <v>-528000</v>
      </c>
      <c r="L108" s="123">
        <v>0</v>
      </c>
      <c r="M108" s="123">
        <v>0</v>
      </c>
      <c r="N108" s="123">
        <v>0</v>
      </c>
      <c r="O108" s="123">
        <v>0</v>
      </c>
      <c r="P108" s="123">
        <v>0</v>
      </c>
      <c r="Q108" s="123">
        <v>0</v>
      </c>
      <c r="R108" s="123">
        <v>0</v>
      </c>
      <c r="S108" s="123">
        <v>0</v>
      </c>
      <c r="T108" s="123">
        <v>0</v>
      </c>
      <c r="U108" s="123">
        <v>-528000</v>
      </c>
      <c r="V108" s="123">
        <v>-528000</v>
      </c>
      <c r="W108" s="123">
        <v>0</v>
      </c>
      <c r="X108" s="123" t="s">
        <v>324</v>
      </c>
      <c r="Y108" s="122">
        <v>45583</v>
      </c>
      <c r="Z108" s="123">
        <v>528000</v>
      </c>
      <c r="AF108" s="123">
        <v>0</v>
      </c>
    </row>
    <row r="109" spans="1:32" x14ac:dyDescent="0.3">
      <c r="A109" s="127" t="s">
        <v>337</v>
      </c>
      <c r="B109" s="128">
        <v>45581</v>
      </c>
      <c r="C109" s="127" t="s">
        <v>26</v>
      </c>
      <c r="D109" s="127" t="s">
        <v>27</v>
      </c>
      <c r="E109" s="127" t="s">
        <v>28</v>
      </c>
      <c r="F109" s="127" t="s">
        <v>172</v>
      </c>
      <c r="G109" t="s">
        <v>56</v>
      </c>
      <c r="H109">
        <v>20288248398</v>
      </c>
      <c r="I109" t="s">
        <v>564</v>
      </c>
      <c r="J109" s="127" t="s">
        <v>381</v>
      </c>
      <c r="K109" s="123">
        <v>35200</v>
      </c>
      <c r="L109" s="123">
        <v>0</v>
      </c>
      <c r="M109" s="123">
        <v>0</v>
      </c>
      <c r="N109" s="123">
        <v>0</v>
      </c>
      <c r="O109" s="123">
        <v>0</v>
      </c>
      <c r="P109" s="123">
        <v>0</v>
      </c>
      <c r="Q109" s="123">
        <v>0</v>
      </c>
      <c r="R109" s="123">
        <v>0</v>
      </c>
      <c r="S109" s="123">
        <v>0</v>
      </c>
      <c r="T109" s="123">
        <v>0</v>
      </c>
      <c r="U109" s="123">
        <v>35200</v>
      </c>
      <c r="V109" s="123">
        <v>35200</v>
      </c>
      <c r="W109" s="123">
        <v>0</v>
      </c>
      <c r="X109" s="123" t="s">
        <v>324</v>
      </c>
      <c r="Y109" s="122">
        <v>45582</v>
      </c>
      <c r="Z109" s="123">
        <v>0</v>
      </c>
      <c r="AF109" s="123">
        <v>0</v>
      </c>
    </row>
    <row r="110" spans="1:32" x14ac:dyDescent="0.3">
      <c r="A110" s="127" t="s">
        <v>337</v>
      </c>
      <c r="B110" s="128">
        <v>45581</v>
      </c>
      <c r="C110" s="127" t="s">
        <v>454</v>
      </c>
      <c r="D110" s="127" t="s">
        <v>27</v>
      </c>
      <c r="E110" s="127" t="s">
        <v>28</v>
      </c>
      <c r="F110" s="127" t="s">
        <v>157</v>
      </c>
      <c r="G110" t="s">
        <v>56</v>
      </c>
      <c r="H110">
        <v>20288248398</v>
      </c>
      <c r="I110" t="s">
        <v>565</v>
      </c>
      <c r="J110" s="127" t="s">
        <v>381</v>
      </c>
      <c r="K110" s="123">
        <v>-45600</v>
      </c>
      <c r="L110" s="123">
        <v>0</v>
      </c>
      <c r="M110" s="123">
        <v>0</v>
      </c>
      <c r="N110" s="123">
        <v>0</v>
      </c>
      <c r="O110" s="123">
        <v>0</v>
      </c>
      <c r="P110" s="123">
        <v>0</v>
      </c>
      <c r="Q110" s="123">
        <v>0</v>
      </c>
      <c r="R110" s="123">
        <v>0</v>
      </c>
      <c r="S110" s="123">
        <v>0</v>
      </c>
      <c r="T110" s="123">
        <v>0</v>
      </c>
      <c r="U110" s="123">
        <v>-45600</v>
      </c>
      <c r="V110" s="123">
        <v>-45600</v>
      </c>
      <c r="W110" s="123">
        <v>0</v>
      </c>
      <c r="X110" s="123" t="s">
        <v>324</v>
      </c>
      <c r="Y110" s="122">
        <v>45582</v>
      </c>
      <c r="Z110" s="123">
        <v>45600</v>
      </c>
      <c r="AF110" s="123">
        <v>0</v>
      </c>
    </row>
    <row r="111" spans="1:32" x14ac:dyDescent="0.3">
      <c r="A111" s="127" t="s">
        <v>337</v>
      </c>
      <c r="B111" s="128">
        <v>45581</v>
      </c>
      <c r="C111" s="127" t="s">
        <v>26</v>
      </c>
      <c r="D111" s="127" t="s">
        <v>27</v>
      </c>
      <c r="E111" s="127" t="s">
        <v>37</v>
      </c>
      <c r="F111" s="127" t="s">
        <v>528</v>
      </c>
      <c r="G111" t="s">
        <v>248</v>
      </c>
      <c r="H111">
        <v>27382124184</v>
      </c>
      <c r="I111" t="s">
        <v>561</v>
      </c>
      <c r="J111" s="127" t="s">
        <v>381</v>
      </c>
      <c r="K111" s="123">
        <v>384000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384000</v>
      </c>
      <c r="V111" s="123">
        <v>384000</v>
      </c>
      <c r="W111" s="123">
        <v>0</v>
      </c>
      <c r="X111" s="123" t="s">
        <v>324</v>
      </c>
      <c r="Y111" s="122">
        <v>45582</v>
      </c>
      <c r="Z111" s="123">
        <v>384000</v>
      </c>
      <c r="AF111" s="123">
        <v>0</v>
      </c>
    </row>
    <row r="112" spans="1:32" x14ac:dyDescent="0.3">
      <c r="A112" s="127" t="s">
        <v>337</v>
      </c>
      <c r="B112" s="128">
        <v>45581</v>
      </c>
      <c r="C112" s="127" t="s">
        <v>26</v>
      </c>
      <c r="D112" s="127" t="s">
        <v>27</v>
      </c>
      <c r="E112" s="127" t="s">
        <v>37</v>
      </c>
      <c r="F112" s="127" t="s">
        <v>590</v>
      </c>
      <c r="G112" t="s">
        <v>248</v>
      </c>
      <c r="H112">
        <v>27382124184</v>
      </c>
      <c r="I112" t="s">
        <v>561</v>
      </c>
      <c r="J112" s="127" t="s">
        <v>381</v>
      </c>
      <c r="K112" s="123">
        <v>296800</v>
      </c>
      <c r="L112" s="123">
        <v>0</v>
      </c>
      <c r="M112" s="123">
        <v>0</v>
      </c>
      <c r="N112" s="123">
        <v>0</v>
      </c>
      <c r="O112" s="123">
        <v>0</v>
      </c>
      <c r="P112" s="123">
        <v>0</v>
      </c>
      <c r="Q112" s="123">
        <v>0</v>
      </c>
      <c r="R112" s="123">
        <v>0</v>
      </c>
      <c r="S112" s="123">
        <v>0</v>
      </c>
      <c r="T112" s="123">
        <v>0</v>
      </c>
      <c r="U112" s="123">
        <v>296800</v>
      </c>
      <c r="V112" s="123">
        <v>296800</v>
      </c>
      <c r="W112" s="123">
        <v>0</v>
      </c>
      <c r="X112" s="123" t="s">
        <v>324</v>
      </c>
      <c r="Y112" s="122">
        <v>45581</v>
      </c>
      <c r="Z112" s="123">
        <v>0</v>
      </c>
      <c r="AF112" s="123">
        <v>0</v>
      </c>
    </row>
    <row r="113" spans="1:32" x14ac:dyDescent="0.3">
      <c r="A113" s="127" t="s">
        <v>337</v>
      </c>
      <c r="B113" s="128">
        <v>45581</v>
      </c>
      <c r="C113" s="127" t="s">
        <v>454</v>
      </c>
      <c r="D113" s="127" t="s">
        <v>27</v>
      </c>
      <c r="E113" s="127" t="s">
        <v>37</v>
      </c>
      <c r="F113" s="127" t="s">
        <v>157</v>
      </c>
      <c r="G113" t="s">
        <v>248</v>
      </c>
      <c r="H113">
        <v>27382124184</v>
      </c>
      <c r="I113" t="s">
        <v>591</v>
      </c>
      <c r="J113" s="127" t="s">
        <v>381</v>
      </c>
      <c r="K113" s="123">
        <v>-296800</v>
      </c>
      <c r="L113" s="123">
        <v>0</v>
      </c>
      <c r="M113" s="123">
        <v>0</v>
      </c>
      <c r="N113" s="123">
        <v>0</v>
      </c>
      <c r="O113" s="123">
        <v>0</v>
      </c>
      <c r="P113" s="123">
        <v>0</v>
      </c>
      <c r="Q113" s="123">
        <v>0</v>
      </c>
      <c r="R113" s="123">
        <v>0</v>
      </c>
      <c r="S113" s="123">
        <v>0</v>
      </c>
      <c r="T113" s="123">
        <v>0</v>
      </c>
      <c r="U113" s="123">
        <v>-296800</v>
      </c>
      <c r="V113" s="123">
        <v>-296800</v>
      </c>
      <c r="W113" s="123">
        <v>0</v>
      </c>
      <c r="X113" s="123" t="s">
        <v>324</v>
      </c>
      <c r="Y113" s="122">
        <v>45581</v>
      </c>
      <c r="Z113" s="123">
        <v>0</v>
      </c>
      <c r="AF113" s="123">
        <v>0</v>
      </c>
    </row>
    <row r="114" spans="1:32" x14ac:dyDescent="0.3">
      <c r="A114" s="127" t="s">
        <v>337</v>
      </c>
      <c r="B114" s="128">
        <v>45581</v>
      </c>
      <c r="C114" s="127" t="s">
        <v>26</v>
      </c>
      <c r="D114" s="127" t="s">
        <v>27</v>
      </c>
      <c r="E114" s="127" t="s">
        <v>28</v>
      </c>
      <c r="F114" s="127" t="s">
        <v>534</v>
      </c>
      <c r="G114" t="s">
        <v>160</v>
      </c>
      <c r="H114">
        <v>20404673867</v>
      </c>
      <c r="I114" t="s">
        <v>171</v>
      </c>
      <c r="J114" s="127" t="s">
        <v>381</v>
      </c>
      <c r="K114" s="123">
        <v>195600</v>
      </c>
      <c r="L114" s="123">
        <v>0</v>
      </c>
      <c r="M114" s="123">
        <v>0</v>
      </c>
      <c r="N114" s="123">
        <v>0</v>
      </c>
      <c r="O114" s="123">
        <v>0</v>
      </c>
      <c r="P114" s="123">
        <v>0</v>
      </c>
      <c r="Q114" s="123">
        <v>0</v>
      </c>
      <c r="R114" s="123">
        <v>0</v>
      </c>
      <c r="S114" s="123">
        <v>0</v>
      </c>
      <c r="T114" s="123">
        <v>0</v>
      </c>
      <c r="U114" s="123">
        <v>195600</v>
      </c>
      <c r="V114" s="123">
        <v>195600</v>
      </c>
      <c r="W114" s="123">
        <v>0</v>
      </c>
      <c r="X114" s="123" t="s">
        <v>324</v>
      </c>
      <c r="Y114" s="122">
        <v>45582</v>
      </c>
      <c r="Z114" s="123">
        <v>195600</v>
      </c>
      <c r="AF114" s="123">
        <v>0</v>
      </c>
    </row>
    <row r="115" spans="1:32" x14ac:dyDescent="0.3">
      <c r="A115" s="127" t="s">
        <v>337</v>
      </c>
      <c r="B115" s="128">
        <v>45581</v>
      </c>
      <c r="C115" s="127" t="s">
        <v>26</v>
      </c>
      <c r="D115" s="127" t="s">
        <v>58</v>
      </c>
      <c r="E115" s="127" t="s">
        <v>74</v>
      </c>
      <c r="F115" s="127" t="s">
        <v>630</v>
      </c>
      <c r="G115" t="s">
        <v>80</v>
      </c>
      <c r="H115">
        <v>20138455654</v>
      </c>
      <c r="I115" t="s">
        <v>81</v>
      </c>
      <c r="J115" s="127" t="s">
        <v>381</v>
      </c>
      <c r="K115" s="123">
        <v>5537.19</v>
      </c>
      <c r="L115" s="123">
        <v>1162.8099</v>
      </c>
      <c r="M115" s="123">
        <v>0</v>
      </c>
      <c r="N115" s="123">
        <v>0</v>
      </c>
      <c r="O115" s="123">
        <v>0</v>
      </c>
      <c r="P115" s="123">
        <v>0</v>
      </c>
      <c r="Q115" s="123">
        <v>0</v>
      </c>
      <c r="R115" s="123">
        <v>0</v>
      </c>
      <c r="S115" s="123">
        <v>0</v>
      </c>
      <c r="T115" s="123">
        <v>1162.8099</v>
      </c>
      <c r="U115" s="123">
        <v>6699.9998999999998</v>
      </c>
      <c r="V115" s="123">
        <v>6700</v>
      </c>
      <c r="W115" s="123">
        <v>0</v>
      </c>
      <c r="X115" s="123" t="s">
        <v>324</v>
      </c>
      <c r="Y115" s="122">
        <v>45581</v>
      </c>
      <c r="Z115" s="123">
        <v>0</v>
      </c>
      <c r="AF115" s="123">
        <v>6700</v>
      </c>
    </row>
    <row r="116" spans="1:32" x14ac:dyDescent="0.3">
      <c r="A116" s="127" t="s">
        <v>337</v>
      </c>
      <c r="B116" s="128">
        <v>45581</v>
      </c>
      <c r="C116" s="127" t="s">
        <v>26</v>
      </c>
      <c r="D116" s="127" t="s">
        <v>27</v>
      </c>
      <c r="E116" s="127" t="s">
        <v>37</v>
      </c>
      <c r="F116" s="127" t="s">
        <v>590</v>
      </c>
      <c r="G116" t="s">
        <v>646</v>
      </c>
      <c r="H116">
        <v>20258842244</v>
      </c>
      <c r="I116" t="s">
        <v>647</v>
      </c>
      <c r="J116" s="127" t="s">
        <v>381</v>
      </c>
      <c r="K116" s="123">
        <v>35000</v>
      </c>
      <c r="L116" s="123">
        <v>0</v>
      </c>
      <c r="M116" s="123">
        <v>0</v>
      </c>
      <c r="N116" s="123">
        <v>0</v>
      </c>
      <c r="O116" s="123">
        <v>0</v>
      </c>
      <c r="P116" s="123">
        <v>0</v>
      </c>
      <c r="Q116" s="123">
        <v>0</v>
      </c>
      <c r="R116" s="123">
        <v>0</v>
      </c>
      <c r="S116" s="123">
        <v>0</v>
      </c>
      <c r="T116" s="123">
        <v>0</v>
      </c>
      <c r="U116" s="123">
        <v>35000</v>
      </c>
      <c r="V116" s="123">
        <v>35000</v>
      </c>
      <c r="W116" s="123">
        <v>0</v>
      </c>
      <c r="X116" s="123" t="s">
        <v>324</v>
      </c>
      <c r="Y116" s="122">
        <v>45581</v>
      </c>
      <c r="Z116" s="123">
        <v>0</v>
      </c>
      <c r="AF116" s="123">
        <v>35000</v>
      </c>
    </row>
    <row r="117" spans="1:32" x14ac:dyDescent="0.3">
      <c r="A117" s="127" t="s">
        <v>337</v>
      </c>
      <c r="B117" s="128">
        <v>45581</v>
      </c>
      <c r="C117" s="127" t="s">
        <v>26</v>
      </c>
      <c r="D117" s="127" t="s">
        <v>403</v>
      </c>
      <c r="E117" s="127" t="s">
        <v>32</v>
      </c>
      <c r="F117" s="127" t="s">
        <v>628</v>
      </c>
      <c r="G117" t="s">
        <v>406</v>
      </c>
      <c r="H117">
        <v>30111111111</v>
      </c>
      <c r="I117" t="s">
        <v>629</v>
      </c>
      <c r="J117" s="127" t="s">
        <v>381</v>
      </c>
      <c r="K117" s="123">
        <v>8500</v>
      </c>
      <c r="L117" s="123">
        <v>0</v>
      </c>
      <c r="M117" s="123">
        <v>0</v>
      </c>
      <c r="N117" s="123">
        <v>0</v>
      </c>
      <c r="O117" s="123">
        <v>0</v>
      </c>
      <c r="P117" s="123">
        <v>0</v>
      </c>
      <c r="Q117" s="123">
        <v>0</v>
      </c>
      <c r="R117" s="123">
        <v>0</v>
      </c>
      <c r="S117" s="123">
        <v>0</v>
      </c>
      <c r="T117" s="123">
        <v>0</v>
      </c>
      <c r="U117" s="123">
        <v>8500</v>
      </c>
      <c r="V117" s="123">
        <v>8500</v>
      </c>
      <c r="W117" s="123">
        <v>0</v>
      </c>
      <c r="X117" s="123" t="s">
        <v>324</v>
      </c>
      <c r="Y117" s="122">
        <v>45591</v>
      </c>
      <c r="Z117" s="123">
        <v>0</v>
      </c>
      <c r="AF117" s="123">
        <v>8500</v>
      </c>
    </row>
    <row r="118" spans="1:32" x14ac:dyDescent="0.3">
      <c r="A118" s="127" t="s">
        <v>337</v>
      </c>
      <c r="B118" s="128">
        <v>45581</v>
      </c>
      <c r="C118" s="127" t="s">
        <v>434</v>
      </c>
      <c r="D118" s="127" t="s">
        <v>403</v>
      </c>
      <c r="E118" s="127" t="s">
        <v>28</v>
      </c>
      <c r="F118" s="127" t="s">
        <v>38</v>
      </c>
      <c r="G118" t="s">
        <v>406</v>
      </c>
      <c r="H118">
        <v>30111111111</v>
      </c>
      <c r="I118" t="s">
        <v>405</v>
      </c>
      <c r="J118" s="127" t="s">
        <v>381</v>
      </c>
      <c r="K118" s="123">
        <v>3000</v>
      </c>
      <c r="L118" s="123">
        <v>0</v>
      </c>
      <c r="M118" s="123">
        <v>0</v>
      </c>
      <c r="N118" s="123">
        <v>0</v>
      </c>
      <c r="O118" s="123">
        <v>0</v>
      </c>
      <c r="P118" s="123">
        <v>0</v>
      </c>
      <c r="Q118" s="123">
        <v>0</v>
      </c>
      <c r="R118" s="123">
        <v>0</v>
      </c>
      <c r="S118" s="123">
        <v>0</v>
      </c>
      <c r="T118" s="123">
        <v>0</v>
      </c>
      <c r="U118" s="123">
        <v>3000</v>
      </c>
      <c r="V118" s="123">
        <v>3000</v>
      </c>
      <c r="W118" s="123">
        <v>0</v>
      </c>
      <c r="X118" s="123" t="s">
        <v>324</v>
      </c>
      <c r="Y118" s="122">
        <v>45581</v>
      </c>
      <c r="Z118" s="123">
        <v>0</v>
      </c>
      <c r="AF118" s="123">
        <v>3000</v>
      </c>
    </row>
    <row r="119" spans="1:32" x14ac:dyDescent="0.3">
      <c r="A119" s="127" t="s">
        <v>337</v>
      </c>
      <c r="B119" s="128">
        <v>45581</v>
      </c>
      <c r="C119" s="127" t="s">
        <v>26</v>
      </c>
      <c r="D119" s="127" t="s">
        <v>27</v>
      </c>
      <c r="E119" s="127" t="s">
        <v>37</v>
      </c>
      <c r="F119" s="127" t="s">
        <v>550</v>
      </c>
      <c r="G119" t="s">
        <v>51</v>
      </c>
      <c r="H119">
        <v>27330903908</v>
      </c>
      <c r="I119" t="s">
        <v>551</v>
      </c>
      <c r="J119" s="127" t="s">
        <v>381</v>
      </c>
      <c r="K119" s="123">
        <v>410400</v>
      </c>
      <c r="L119" s="123">
        <v>0</v>
      </c>
      <c r="M119" s="123">
        <v>0</v>
      </c>
      <c r="N119" s="123">
        <v>0</v>
      </c>
      <c r="O119" s="123">
        <v>0</v>
      </c>
      <c r="P119" s="123">
        <v>0</v>
      </c>
      <c r="Q119" s="123">
        <v>0</v>
      </c>
      <c r="R119" s="123">
        <v>0</v>
      </c>
      <c r="S119" s="123">
        <v>0</v>
      </c>
      <c r="T119" s="123">
        <v>0</v>
      </c>
      <c r="U119" s="123">
        <v>410400</v>
      </c>
      <c r="V119" s="123">
        <v>410400</v>
      </c>
      <c r="W119" s="123">
        <v>0</v>
      </c>
      <c r="X119" s="123" t="s">
        <v>324</v>
      </c>
      <c r="Y119" s="122">
        <v>45582</v>
      </c>
      <c r="Z119" s="123">
        <v>410400</v>
      </c>
      <c r="AF119" s="123">
        <v>0</v>
      </c>
    </row>
    <row r="120" spans="1:32" x14ac:dyDescent="0.3">
      <c r="A120" s="127" t="s">
        <v>337</v>
      </c>
      <c r="B120" s="128">
        <v>45581</v>
      </c>
      <c r="C120" s="127" t="s">
        <v>26</v>
      </c>
      <c r="D120" s="127" t="s">
        <v>58</v>
      </c>
      <c r="E120" s="127" t="s">
        <v>111</v>
      </c>
      <c r="F120" s="127" t="s">
        <v>631</v>
      </c>
      <c r="G120" t="s">
        <v>95</v>
      </c>
      <c r="H120">
        <v>30583516790</v>
      </c>
      <c r="I120" t="s">
        <v>96</v>
      </c>
      <c r="J120" s="127" t="s">
        <v>381</v>
      </c>
      <c r="K120" s="123">
        <v>9249.8799999999992</v>
      </c>
      <c r="L120" s="123">
        <v>1942.4747999999997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1942.4747999999997</v>
      </c>
      <c r="U120" s="123">
        <v>11192.354799999999</v>
      </c>
      <c r="V120" s="123">
        <v>11192.354799999999</v>
      </c>
      <c r="W120" s="123">
        <v>0</v>
      </c>
      <c r="X120" s="123" t="s">
        <v>324</v>
      </c>
      <c r="Y120" s="122">
        <v>45581</v>
      </c>
      <c r="Z120" s="123">
        <v>0</v>
      </c>
      <c r="AF120" s="123">
        <v>11192.354799999999</v>
      </c>
    </row>
    <row r="121" spans="1:32" x14ac:dyDescent="0.3">
      <c r="A121" s="127" t="s">
        <v>337</v>
      </c>
      <c r="B121" s="128">
        <v>45581</v>
      </c>
      <c r="C121" s="127" t="s">
        <v>402</v>
      </c>
      <c r="D121" s="127" t="s">
        <v>27</v>
      </c>
      <c r="E121" s="127" t="s">
        <v>28</v>
      </c>
      <c r="F121" s="127" t="s">
        <v>585</v>
      </c>
      <c r="G121" t="s">
        <v>226</v>
      </c>
      <c r="H121">
        <v>27410953345</v>
      </c>
      <c r="I121" t="s">
        <v>545</v>
      </c>
      <c r="J121" s="127" t="s">
        <v>381</v>
      </c>
      <c r="K121" s="123">
        <v>92000</v>
      </c>
      <c r="L121" s="123">
        <v>0</v>
      </c>
      <c r="M121" s="123">
        <v>0</v>
      </c>
      <c r="N121" s="123">
        <v>0</v>
      </c>
      <c r="O121" s="123">
        <v>0</v>
      </c>
      <c r="P121" s="123">
        <v>0</v>
      </c>
      <c r="Q121" s="123">
        <v>0</v>
      </c>
      <c r="R121" s="123">
        <v>0</v>
      </c>
      <c r="S121" s="123">
        <v>0</v>
      </c>
      <c r="T121" s="123">
        <v>0</v>
      </c>
      <c r="U121" s="123">
        <v>92000</v>
      </c>
      <c r="V121" s="123">
        <v>92000</v>
      </c>
      <c r="W121" s="123">
        <v>0</v>
      </c>
      <c r="X121" s="123" t="s">
        <v>324</v>
      </c>
      <c r="Y121" s="122">
        <v>45581</v>
      </c>
      <c r="Z121" s="123">
        <v>0</v>
      </c>
      <c r="AF121" s="123">
        <v>0</v>
      </c>
    </row>
    <row r="122" spans="1:32" x14ac:dyDescent="0.3">
      <c r="A122" s="127" t="s">
        <v>337</v>
      </c>
      <c r="B122" s="128">
        <v>45581</v>
      </c>
      <c r="C122" s="127" t="s">
        <v>586</v>
      </c>
      <c r="D122" s="127" t="s">
        <v>27</v>
      </c>
      <c r="E122" s="127" t="s">
        <v>28</v>
      </c>
      <c r="F122" s="127" t="s">
        <v>157</v>
      </c>
      <c r="G122" t="s">
        <v>226</v>
      </c>
      <c r="H122">
        <v>27410953345</v>
      </c>
      <c r="I122" t="s">
        <v>587</v>
      </c>
      <c r="J122" s="127" t="s">
        <v>381</v>
      </c>
      <c r="K122" s="123">
        <v>-92000</v>
      </c>
      <c r="L122" s="123">
        <v>0</v>
      </c>
      <c r="M122" s="123">
        <v>0</v>
      </c>
      <c r="N122" s="123">
        <v>0</v>
      </c>
      <c r="O122" s="123">
        <v>0</v>
      </c>
      <c r="P122" s="123">
        <v>0</v>
      </c>
      <c r="Q122" s="123">
        <v>0</v>
      </c>
      <c r="R122" s="123">
        <v>0</v>
      </c>
      <c r="S122" s="123">
        <v>0</v>
      </c>
      <c r="T122" s="123">
        <v>0</v>
      </c>
      <c r="U122" s="123">
        <v>-92000</v>
      </c>
      <c r="V122" s="123">
        <v>-92000</v>
      </c>
      <c r="W122" s="123">
        <v>0</v>
      </c>
      <c r="X122" s="123" t="s">
        <v>324</v>
      </c>
      <c r="Y122" s="122">
        <v>45581</v>
      </c>
      <c r="Z122" s="123">
        <v>0</v>
      </c>
      <c r="AF122" s="123">
        <v>0</v>
      </c>
    </row>
    <row r="123" spans="1:32" x14ac:dyDescent="0.3">
      <c r="A123" s="127" t="s">
        <v>337</v>
      </c>
      <c r="B123" s="128">
        <v>45581</v>
      </c>
      <c r="C123" s="127" t="s">
        <v>26</v>
      </c>
      <c r="D123" s="127" t="s">
        <v>27</v>
      </c>
      <c r="E123" s="127" t="s">
        <v>28</v>
      </c>
      <c r="F123" s="127" t="s">
        <v>529</v>
      </c>
      <c r="G123" t="s">
        <v>530</v>
      </c>
      <c r="H123">
        <v>27954100699</v>
      </c>
      <c r="I123" t="s">
        <v>523</v>
      </c>
      <c r="J123" s="127" t="s">
        <v>381</v>
      </c>
      <c r="K123" s="123">
        <v>390000</v>
      </c>
      <c r="L123" s="123">
        <v>0</v>
      </c>
      <c r="M123" s="123">
        <v>0</v>
      </c>
      <c r="N123" s="123">
        <v>0</v>
      </c>
      <c r="O123" s="123">
        <v>0</v>
      </c>
      <c r="P123" s="123">
        <v>0</v>
      </c>
      <c r="Q123" s="123">
        <v>0</v>
      </c>
      <c r="R123" s="123">
        <v>0</v>
      </c>
      <c r="S123" s="123">
        <v>0</v>
      </c>
      <c r="T123" s="123">
        <v>0</v>
      </c>
      <c r="U123" s="123">
        <v>390000</v>
      </c>
      <c r="V123" s="123">
        <v>390000</v>
      </c>
      <c r="W123" s="123">
        <v>0</v>
      </c>
      <c r="X123" s="123" t="s">
        <v>324</v>
      </c>
      <c r="Y123" s="122">
        <v>45581</v>
      </c>
      <c r="Z123" s="123">
        <v>390000</v>
      </c>
      <c r="AF123" s="123">
        <v>0</v>
      </c>
    </row>
    <row r="124" spans="1:32" x14ac:dyDescent="0.3">
      <c r="A124" s="127" t="s">
        <v>337</v>
      </c>
      <c r="B124" s="128">
        <v>45581</v>
      </c>
      <c r="C124" s="127" t="s">
        <v>26</v>
      </c>
      <c r="D124" s="127" t="s">
        <v>27</v>
      </c>
      <c r="E124" s="127" t="s">
        <v>37</v>
      </c>
      <c r="F124" s="127" t="s">
        <v>29</v>
      </c>
      <c r="G124" t="s">
        <v>48</v>
      </c>
      <c r="H124">
        <v>27235843604</v>
      </c>
      <c r="I124" t="s">
        <v>563</v>
      </c>
      <c r="J124" s="127" t="s">
        <v>381</v>
      </c>
      <c r="K124" s="123">
        <v>441600</v>
      </c>
      <c r="L124" s="123">
        <v>0</v>
      </c>
      <c r="M124" s="123">
        <v>0</v>
      </c>
      <c r="N124" s="123">
        <v>0</v>
      </c>
      <c r="O124" s="123">
        <v>0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441600</v>
      </c>
      <c r="V124" s="123">
        <v>441600</v>
      </c>
      <c r="W124" s="123">
        <v>0</v>
      </c>
      <c r="X124" s="123" t="s">
        <v>324</v>
      </c>
      <c r="Y124" s="122">
        <v>45582</v>
      </c>
      <c r="Z124" s="123">
        <v>441600</v>
      </c>
      <c r="AF124" s="123">
        <v>0</v>
      </c>
    </row>
    <row r="125" spans="1:32" x14ac:dyDescent="0.3">
      <c r="A125" s="127" t="s">
        <v>337</v>
      </c>
      <c r="B125" s="128">
        <v>45581</v>
      </c>
      <c r="C125" s="127" t="s">
        <v>26</v>
      </c>
      <c r="D125" s="127" t="s">
        <v>27</v>
      </c>
      <c r="E125" s="127" t="s">
        <v>37</v>
      </c>
      <c r="F125" s="127" t="s">
        <v>180</v>
      </c>
      <c r="G125" t="s">
        <v>39</v>
      </c>
      <c r="H125">
        <v>27335929271</v>
      </c>
      <c r="I125" t="s">
        <v>561</v>
      </c>
      <c r="J125" s="127" t="s">
        <v>381</v>
      </c>
      <c r="K125" s="123">
        <v>475200</v>
      </c>
      <c r="L125" s="123">
        <v>0</v>
      </c>
      <c r="M125" s="123">
        <v>0</v>
      </c>
      <c r="N125" s="123">
        <v>0</v>
      </c>
      <c r="O125" s="123">
        <v>0</v>
      </c>
      <c r="P125" s="123">
        <v>0</v>
      </c>
      <c r="Q125" s="123">
        <v>0</v>
      </c>
      <c r="R125" s="123">
        <v>0</v>
      </c>
      <c r="S125" s="123">
        <v>0</v>
      </c>
      <c r="T125" s="123">
        <v>0</v>
      </c>
      <c r="U125" s="123">
        <v>475200</v>
      </c>
      <c r="V125" s="123">
        <v>475200</v>
      </c>
      <c r="W125" s="123">
        <v>0</v>
      </c>
      <c r="X125" s="123" t="s">
        <v>324</v>
      </c>
      <c r="Y125" s="122">
        <v>45582</v>
      </c>
      <c r="Z125" s="123">
        <v>475200</v>
      </c>
      <c r="AF125" s="123">
        <v>0</v>
      </c>
    </row>
    <row r="126" spans="1:32" x14ac:dyDescent="0.3">
      <c r="A126" s="127" t="s">
        <v>337</v>
      </c>
      <c r="B126" s="128">
        <v>45581</v>
      </c>
      <c r="C126" s="127" t="s">
        <v>26</v>
      </c>
      <c r="D126" s="127" t="s">
        <v>27</v>
      </c>
      <c r="E126" s="127" t="s">
        <v>32</v>
      </c>
      <c r="F126" s="127" t="s">
        <v>562</v>
      </c>
      <c r="G126" t="s">
        <v>46</v>
      </c>
      <c r="H126">
        <v>27386520599</v>
      </c>
      <c r="I126" t="s">
        <v>561</v>
      </c>
      <c r="J126" s="127" t="s">
        <v>381</v>
      </c>
      <c r="K126" s="123">
        <v>487200</v>
      </c>
      <c r="L126" s="123">
        <v>0</v>
      </c>
      <c r="M126" s="123">
        <v>0</v>
      </c>
      <c r="N126" s="123">
        <v>0</v>
      </c>
      <c r="O126" s="123">
        <v>0</v>
      </c>
      <c r="P126" s="123">
        <v>0</v>
      </c>
      <c r="Q126" s="123">
        <v>0</v>
      </c>
      <c r="R126" s="123">
        <v>0</v>
      </c>
      <c r="S126" s="123">
        <v>0</v>
      </c>
      <c r="T126" s="123">
        <v>0</v>
      </c>
      <c r="U126" s="123">
        <v>487200</v>
      </c>
      <c r="V126" s="123">
        <v>487200</v>
      </c>
      <c r="W126" s="123">
        <v>0</v>
      </c>
      <c r="X126" s="123" t="s">
        <v>324</v>
      </c>
      <c r="Y126" s="122">
        <v>45582</v>
      </c>
      <c r="Z126" s="123">
        <v>487200</v>
      </c>
      <c r="AF126" s="123">
        <v>0</v>
      </c>
    </row>
    <row r="127" spans="1:32" x14ac:dyDescent="0.3">
      <c r="A127" s="127" t="s">
        <v>337</v>
      </c>
      <c r="B127" s="128">
        <v>45581</v>
      </c>
      <c r="C127" s="127" t="s">
        <v>26</v>
      </c>
      <c r="D127" s="127" t="s">
        <v>27</v>
      </c>
      <c r="E127" s="127" t="s">
        <v>32</v>
      </c>
      <c r="F127" s="127" t="s">
        <v>588</v>
      </c>
      <c r="G127" t="s">
        <v>46</v>
      </c>
      <c r="H127">
        <v>27386520599</v>
      </c>
      <c r="I127" t="s">
        <v>561</v>
      </c>
      <c r="J127" s="127" t="s">
        <v>381</v>
      </c>
      <c r="K127" s="123">
        <v>377600</v>
      </c>
      <c r="L127" s="123">
        <v>0</v>
      </c>
      <c r="M127" s="123">
        <v>0</v>
      </c>
      <c r="N127" s="123">
        <v>0</v>
      </c>
      <c r="O127" s="123">
        <v>0</v>
      </c>
      <c r="P127" s="123">
        <v>0</v>
      </c>
      <c r="Q127" s="123">
        <v>0</v>
      </c>
      <c r="R127" s="123">
        <v>0</v>
      </c>
      <c r="S127" s="123">
        <v>0</v>
      </c>
      <c r="T127" s="123">
        <v>0</v>
      </c>
      <c r="U127" s="123">
        <v>377600</v>
      </c>
      <c r="V127" s="123">
        <v>377600</v>
      </c>
      <c r="W127" s="123">
        <v>0</v>
      </c>
      <c r="X127" s="123" t="s">
        <v>324</v>
      </c>
      <c r="Y127" s="122">
        <v>45581</v>
      </c>
      <c r="Z127" s="123">
        <v>0</v>
      </c>
      <c r="AF127" s="123">
        <v>0</v>
      </c>
    </row>
    <row r="128" spans="1:32" x14ac:dyDescent="0.3">
      <c r="A128" s="127" t="s">
        <v>337</v>
      </c>
      <c r="B128" s="128">
        <v>45581</v>
      </c>
      <c r="C128" s="127" t="s">
        <v>410</v>
      </c>
      <c r="D128" s="127" t="s">
        <v>27</v>
      </c>
      <c r="E128" s="127" t="s">
        <v>32</v>
      </c>
      <c r="F128" s="127" t="s">
        <v>157</v>
      </c>
      <c r="G128" t="s">
        <v>46</v>
      </c>
      <c r="H128">
        <v>27386520599</v>
      </c>
      <c r="I128" t="s">
        <v>589</v>
      </c>
      <c r="J128" s="127" t="s">
        <v>381</v>
      </c>
      <c r="K128" s="123">
        <v>377600</v>
      </c>
      <c r="L128" s="123">
        <v>0</v>
      </c>
      <c r="M128" s="123">
        <v>0</v>
      </c>
      <c r="N128" s="123">
        <v>0</v>
      </c>
      <c r="O128" s="123">
        <v>0</v>
      </c>
      <c r="P128" s="123">
        <v>0</v>
      </c>
      <c r="Q128" s="123">
        <v>0</v>
      </c>
      <c r="R128" s="123">
        <v>0</v>
      </c>
      <c r="S128" s="123">
        <v>0</v>
      </c>
      <c r="T128" s="123">
        <v>0</v>
      </c>
      <c r="U128" s="123">
        <v>377600</v>
      </c>
      <c r="V128" s="123">
        <v>377600</v>
      </c>
      <c r="W128" s="123">
        <v>0</v>
      </c>
      <c r="X128" s="123" t="s">
        <v>324</v>
      </c>
      <c r="Y128" s="122">
        <v>45581</v>
      </c>
      <c r="Z128" s="123">
        <v>0</v>
      </c>
      <c r="AF128" s="123">
        <v>0</v>
      </c>
    </row>
    <row r="129" spans="1:33" x14ac:dyDescent="0.3">
      <c r="A129" s="127" t="s">
        <v>337</v>
      </c>
      <c r="B129" s="128">
        <v>45581</v>
      </c>
      <c r="C129" s="127" t="s">
        <v>26</v>
      </c>
      <c r="D129" s="127" t="s">
        <v>27</v>
      </c>
      <c r="E129" s="127" t="s">
        <v>28</v>
      </c>
      <c r="F129" s="127" t="s">
        <v>33</v>
      </c>
      <c r="G129" t="s">
        <v>241</v>
      </c>
      <c r="H129">
        <v>27357831267</v>
      </c>
      <c r="I129" t="s">
        <v>545</v>
      </c>
      <c r="J129" s="127" t="s">
        <v>381</v>
      </c>
      <c r="K129" s="123">
        <v>120000</v>
      </c>
      <c r="L129" s="123">
        <v>0</v>
      </c>
      <c r="M129" s="123">
        <v>0</v>
      </c>
      <c r="N129" s="123">
        <v>0</v>
      </c>
      <c r="O129" s="123">
        <v>0</v>
      </c>
      <c r="P129" s="123">
        <v>0</v>
      </c>
      <c r="Q129" s="123">
        <v>0</v>
      </c>
      <c r="R129" s="123">
        <v>0</v>
      </c>
      <c r="S129" s="123">
        <v>0</v>
      </c>
      <c r="T129" s="123">
        <v>0</v>
      </c>
      <c r="U129" s="123">
        <v>120000</v>
      </c>
      <c r="V129" s="123">
        <v>120000</v>
      </c>
      <c r="W129" s="123">
        <v>0</v>
      </c>
      <c r="X129" s="123" t="s">
        <v>324</v>
      </c>
      <c r="Y129" s="122">
        <v>45582</v>
      </c>
      <c r="Z129" s="123">
        <v>120000</v>
      </c>
      <c r="AF129" s="123">
        <v>0</v>
      </c>
    </row>
    <row r="130" spans="1:33" x14ac:dyDescent="0.3">
      <c r="A130" s="127" t="s">
        <v>337</v>
      </c>
      <c r="B130" s="128">
        <v>45582</v>
      </c>
      <c r="C130" s="127" t="s">
        <v>26</v>
      </c>
      <c r="D130" s="127" t="s">
        <v>27</v>
      </c>
      <c r="E130" s="127" t="s">
        <v>28</v>
      </c>
      <c r="F130" s="127" t="s">
        <v>579</v>
      </c>
      <c r="G130" t="s">
        <v>521</v>
      </c>
      <c r="H130">
        <v>20399039569</v>
      </c>
      <c r="I130" t="s">
        <v>523</v>
      </c>
      <c r="J130" s="127" t="s">
        <v>381</v>
      </c>
      <c r="K130" s="123">
        <v>201600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201600</v>
      </c>
      <c r="V130" s="123">
        <v>201600</v>
      </c>
      <c r="W130" s="123">
        <v>0</v>
      </c>
      <c r="X130" s="123" t="s">
        <v>324</v>
      </c>
      <c r="Y130" s="122">
        <v>45583</v>
      </c>
      <c r="Z130" s="123">
        <v>201600</v>
      </c>
      <c r="AF130" s="123">
        <v>0</v>
      </c>
    </row>
    <row r="131" spans="1:33" x14ac:dyDescent="0.3">
      <c r="A131" s="127" t="s">
        <v>337</v>
      </c>
      <c r="B131" s="128">
        <v>45582</v>
      </c>
      <c r="C131" s="127" t="s">
        <v>26</v>
      </c>
      <c r="D131" s="127" t="s">
        <v>27</v>
      </c>
      <c r="E131" s="127" t="s">
        <v>28</v>
      </c>
      <c r="F131" s="127" t="s">
        <v>577</v>
      </c>
      <c r="G131" t="s">
        <v>44</v>
      </c>
      <c r="H131">
        <v>27346203647</v>
      </c>
      <c r="I131" t="s">
        <v>576</v>
      </c>
      <c r="J131" s="127" t="s">
        <v>381</v>
      </c>
      <c r="K131" s="123">
        <v>118400</v>
      </c>
      <c r="L131" s="123">
        <v>0</v>
      </c>
      <c r="M131" s="123">
        <v>0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0</v>
      </c>
      <c r="T131" s="123">
        <v>0</v>
      </c>
      <c r="U131" s="123">
        <v>118400</v>
      </c>
      <c r="V131" s="123">
        <v>118400</v>
      </c>
      <c r="W131" s="123">
        <v>0</v>
      </c>
      <c r="X131" s="123" t="s">
        <v>324</v>
      </c>
      <c r="Y131" s="122">
        <v>45583</v>
      </c>
      <c r="Z131" s="123">
        <v>0</v>
      </c>
      <c r="AF131" s="123">
        <v>0</v>
      </c>
    </row>
    <row r="132" spans="1:33" x14ac:dyDescent="0.3">
      <c r="A132" s="127" t="s">
        <v>337</v>
      </c>
      <c r="B132" s="128">
        <v>45582</v>
      </c>
      <c r="C132" s="127" t="s">
        <v>26</v>
      </c>
      <c r="D132" s="127" t="s">
        <v>27</v>
      </c>
      <c r="E132" s="127" t="s">
        <v>28</v>
      </c>
      <c r="F132" s="127" t="s">
        <v>169</v>
      </c>
      <c r="G132" t="s">
        <v>56</v>
      </c>
      <c r="H132">
        <v>20288248398</v>
      </c>
      <c r="I132" t="s">
        <v>564</v>
      </c>
      <c r="J132" s="127" t="s">
        <v>381</v>
      </c>
      <c r="K132" s="123">
        <v>10400</v>
      </c>
      <c r="L132" s="123">
        <v>0</v>
      </c>
      <c r="M132" s="123">
        <v>0</v>
      </c>
      <c r="N132" s="123">
        <v>0</v>
      </c>
      <c r="O132" s="123">
        <v>0</v>
      </c>
      <c r="P132" s="123">
        <v>0</v>
      </c>
      <c r="Q132" s="123">
        <v>0</v>
      </c>
      <c r="R132" s="123">
        <v>0</v>
      </c>
      <c r="S132" s="123">
        <v>0</v>
      </c>
      <c r="T132" s="123">
        <v>0</v>
      </c>
      <c r="U132" s="123">
        <v>10400</v>
      </c>
      <c r="V132" s="123">
        <v>10400</v>
      </c>
      <c r="W132" s="123">
        <v>0</v>
      </c>
      <c r="X132" s="123" t="s">
        <v>324</v>
      </c>
      <c r="Y132" s="122">
        <v>45582</v>
      </c>
      <c r="Z132" s="123">
        <v>0</v>
      </c>
      <c r="AF132" s="123">
        <v>0</v>
      </c>
    </row>
    <row r="133" spans="1:33" x14ac:dyDescent="0.3">
      <c r="A133" s="127" t="s">
        <v>337</v>
      </c>
      <c r="B133" s="128">
        <v>45582</v>
      </c>
      <c r="C133" s="127" t="s">
        <v>26</v>
      </c>
      <c r="D133" s="127" t="s">
        <v>58</v>
      </c>
      <c r="E133" s="127" t="s">
        <v>32</v>
      </c>
      <c r="F133" s="127" t="s">
        <v>668</v>
      </c>
      <c r="G133" t="s">
        <v>273</v>
      </c>
      <c r="H133">
        <v>30710657315</v>
      </c>
      <c r="I133" t="s">
        <v>142</v>
      </c>
      <c r="J133" s="127" t="s">
        <v>381</v>
      </c>
      <c r="K133" s="123">
        <v>0</v>
      </c>
      <c r="L133" s="123">
        <v>0</v>
      </c>
      <c r="M133" s="123">
        <v>0</v>
      </c>
      <c r="N133" s="123">
        <v>0</v>
      </c>
      <c r="O133" s="123">
        <v>0</v>
      </c>
      <c r="P133" s="123">
        <v>360000</v>
      </c>
      <c r="Q133" s="123">
        <v>0</v>
      </c>
      <c r="R133" s="123">
        <v>0</v>
      </c>
      <c r="S133" s="123">
        <v>0</v>
      </c>
      <c r="T133" s="123">
        <v>0</v>
      </c>
      <c r="U133" s="123">
        <v>360000</v>
      </c>
      <c r="V133" s="123">
        <v>360000</v>
      </c>
      <c r="X133" s="123" t="s">
        <v>325</v>
      </c>
    </row>
    <row r="134" spans="1:33" x14ac:dyDescent="0.3">
      <c r="A134" s="132" t="s">
        <v>337</v>
      </c>
      <c r="B134" s="133">
        <v>45582</v>
      </c>
      <c r="C134" s="132" t="s">
        <v>26</v>
      </c>
      <c r="D134" s="132" t="s">
        <v>27</v>
      </c>
      <c r="E134" s="132" t="s">
        <v>28</v>
      </c>
      <c r="F134" s="132" t="s">
        <v>432</v>
      </c>
      <c r="G134" s="134" t="s">
        <v>222</v>
      </c>
      <c r="H134" s="134">
        <v>23339846324</v>
      </c>
      <c r="I134" s="134" t="s">
        <v>818</v>
      </c>
      <c r="J134" s="132" t="s">
        <v>381</v>
      </c>
      <c r="K134" s="135">
        <v>168000</v>
      </c>
      <c r="L134" s="135">
        <v>0</v>
      </c>
      <c r="M134" s="135">
        <v>0</v>
      </c>
      <c r="N134" s="135">
        <v>0</v>
      </c>
      <c r="O134" s="135">
        <v>0</v>
      </c>
      <c r="P134" s="135">
        <v>0</v>
      </c>
      <c r="Q134" s="135">
        <v>0</v>
      </c>
      <c r="R134" s="135">
        <v>0</v>
      </c>
      <c r="S134" s="135">
        <v>0</v>
      </c>
      <c r="T134" s="135">
        <v>0</v>
      </c>
      <c r="U134" s="135">
        <v>168000</v>
      </c>
      <c r="V134" s="135">
        <v>168000</v>
      </c>
      <c r="W134" s="135">
        <v>0</v>
      </c>
      <c r="X134" s="135" t="s">
        <v>324</v>
      </c>
      <c r="Y134" s="136">
        <v>45583</v>
      </c>
      <c r="Z134" s="135">
        <v>168000</v>
      </c>
      <c r="AA134" s="135"/>
      <c r="AB134" s="135"/>
      <c r="AC134" s="135"/>
      <c r="AD134" s="135"/>
      <c r="AE134" s="135"/>
      <c r="AF134" s="135">
        <v>0</v>
      </c>
      <c r="AG134" s="135"/>
    </row>
    <row r="135" spans="1:33" x14ac:dyDescent="0.3">
      <c r="A135" s="127" t="s">
        <v>337</v>
      </c>
      <c r="B135" s="128">
        <v>45582</v>
      </c>
      <c r="C135" s="127" t="s">
        <v>26</v>
      </c>
      <c r="D135" s="127" t="s">
        <v>58</v>
      </c>
      <c r="E135" s="127" t="s">
        <v>28</v>
      </c>
      <c r="F135" s="127" t="s">
        <v>191</v>
      </c>
      <c r="G135" t="s">
        <v>284</v>
      </c>
      <c r="H135">
        <v>27339701712</v>
      </c>
      <c r="I135" t="s">
        <v>574</v>
      </c>
      <c r="J135" s="127" t="s">
        <v>381</v>
      </c>
      <c r="K135" s="123">
        <v>714000</v>
      </c>
      <c r="L135" s="123">
        <v>0</v>
      </c>
      <c r="M135" s="123">
        <v>0</v>
      </c>
      <c r="N135" s="123">
        <v>0</v>
      </c>
      <c r="O135" s="123">
        <v>0</v>
      </c>
      <c r="P135" s="123">
        <v>0</v>
      </c>
      <c r="Q135" s="123">
        <v>0</v>
      </c>
      <c r="R135" s="123">
        <v>0</v>
      </c>
      <c r="S135" s="123">
        <v>0</v>
      </c>
      <c r="T135" s="123">
        <v>0</v>
      </c>
      <c r="U135" s="123">
        <v>714000</v>
      </c>
      <c r="V135" s="123">
        <v>714000</v>
      </c>
      <c r="W135" s="123">
        <v>0</v>
      </c>
      <c r="X135" s="123" t="s">
        <v>324</v>
      </c>
      <c r="Y135" s="122">
        <v>45583</v>
      </c>
      <c r="Z135" s="123">
        <v>714000</v>
      </c>
      <c r="AF135" s="123">
        <v>0</v>
      </c>
    </row>
    <row r="136" spans="1:33" x14ac:dyDescent="0.3">
      <c r="A136" s="127" t="s">
        <v>337</v>
      </c>
      <c r="B136" s="128">
        <v>45582</v>
      </c>
      <c r="C136" s="127" t="s">
        <v>26</v>
      </c>
      <c r="D136" s="127" t="s">
        <v>27</v>
      </c>
      <c r="E136" s="127" t="s">
        <v>37</v>
      </c>
      <c r="F136" s="127" t="s">
        <v>547</v>
      </c>
      <c r="G136" t="s">
        <v>246</v>
      </c>
      <c r="H136">
        <v>27261538046</v>
      </c>
      <c r="I136" t="s">
        <v>545</v>
      </c>
      <c r="J136" s="127" t="s">
        <v>381</v>
      </c>
      <c r="K136" s="123">
        <v>72000</v>
      </c>
      <c r="L136" s="123">
        <v>0</v>
      </c>
      <c r="M136" s="123">
        <v>0</v>
      </c>
      <c r="N136" s="123">
        <v>0</v>
      </c>
      <c r="O136" s="123">
        <v>0</v>
      </c>
      <c r="P136" s="123">
        <v>0</v>
      </c>
      <c r="Q136" s="123">
        <v>0</v>
      </c>
      <c r="R136" s="123">
        <v>0</v>
      </c>
      <c r="S136" s="123">
        <v>0</v>
      </c>
      <c r="T136" s="123">
        <v>0</v>
      </c>
      <c r="U136" s="123">
        <v>72000</v>
      </c>
      <c r="V136" s="123">
        <v>72000</v>
      </c>
      <c r="W136" s="123">
        <v>0</v>
      </c>
      <c r="X136" s="123" t="s">
        <v>324</v>
      </c>
      <c r="Y136" s="122">
        <v>45582</v>
      </c>
      <c r="Z136" s="123">
        <v>72000</v>
      </c>
      <c r="AF136" s="123">
        <v>0</v>
      </c>
    </row>
    <row r="137" spans="1:33" x14ac:dyDescent="0.3">
      <c r="A137" s="127" t="s">
        <v>337</v>
      </c>
      <c r="B137" s="128">
        <v>45582</v>
      </c>
      <c r="C137" s="127" t="s">
        <v>402</v>
      </c>
      <c r="D137" s="127" t="s">
        <v>27</v>
      </c>
      <c r="E137" s="127" t="s">
        <v>28</v>
      </c>
      <c r="F137" s="127" t="s">
        <v>543</v>
      </c>
      <c r="G137" t="s">
        <v>226</v>
      </c>
      <c r="H137">
        <v>27410953345</v>
      </c>
      <c r="I137" t="s">
        <v>544</v>
      </c>
      <c r="J137" s="127" t="s">
        <v>381</v>
      </c>
      <c r="K137" s="123">
        <v>132000</v>
      </c>
      <c r="L137" s="123">
        <v>0</v>
      </c>
      <c r="M137" s="123">
        <v>0</v>
      </c>
      <c r="N137" s="123">
        <v>0</v>
      </c>
      <c r="O137" s="123">
        <v>0</v>
      </c>
      <c r="P137" s="123">
        <v>0</v>
      </c>
      <c r="Q137" s="123">
        <v>0</v>
      </c>
      <c r="R137" s="123">
        <v>0</v>
      </c>
      <c r="S137" s="123">
        <v>0</v>
      </c>
      <c r="T137" s="123">
        <v>0</v>
      </c>
      <c r="U137" s="123">
        <v>132000</v>
      </c>
      <c r="V137" s="123">
        <v>132000</v>
      </c>
      <c r="W137" s="123">
        <v>0</v>
      </c>
      <c r="X137" s="123" t="s">
        <v>324</v>
      </c>
      <c r="Y137" s="122">
        <v>45582</v>
      </c>
      <c r="Z137" s="123">
        <v>132000</v>
      </c>
      <c r="AF137" s="123">
        <v>0</v>
      </c>
    </row>
    <row r="138" spans="1:33" x14ac:dyDescent="0.3">
      <c r="A138" s="127" t="s">
        <v>337</v>
      </c>
      <c r="B138" s="128">
        <v>45582</v>
      </c>
      <c r="C138" s="127" t="s">
        <v>402</v>
      </c>
      <c r="D138" s="127" t="s">
        <v>27</v>
      </c>
      <c r="E138" s="127" t="s">
        <v>28</v>
      </c>
      <c r="F138" s="127" t="s">
        <v>546</v>
      </c>
      <c r="G138" t="s">
        <v>226</v>
      </c>
      <c r="H138">
        <v>27410953345</v>
      </c>
      <c r="I138" t="s">
        <v>545</v>
      </c>
      <c r="J138" s="127" t="s">
        <v>381</v>
      </c>
      <c r="K138" s="123">
        <v>120000</v>
      </c>
      <c r="L138" s="123">
        <v>0</v>
      </c>
      <c r="M138" s="123">
        <v>0</v>
      </c>
      <c r="N138" s="123">
        <v>0</v>
      </c>
      <c r="O138" s="123">
        <v>0</v>
      </c>
      <c r="P138" s="123">
        <v>0</v>
      </c>
      <c r="Q138" s="123">
        <v>0</v>
      </c>
      <c r="R138" s="123">
        <v>0</v>
      </c>
      <c r="S138" s="123">
        <v>0</v>
      </c>
      <c r="T138" s="123">
        <v>0</v>
      </c>
      <c r="U138" s="123">
        <v>120000</v>
      </c>
      <c r="V138" s="123">
        <v>120000</v>
      </c>
      <c r="W138" s="123">
        <v>0</v>
      </c>
      <c r="X138" s="123" t="s">
        <v>324</v>
      </c>
      <c r="Y138" s="122">
        <v>45582</v>
      </c>
      <c r="Z138" s="123">
        <v>120000</v>
      </c>
      <c r="AF138" s="123">
        <v>0</v>
      </c>
    </row>
    <row r="139" spans="1:33" x14ac:dyDescent="0.3">
      <c r="A139" s="127" t="s">
        <v>337</v>
      </c>
      <c r="B139" s="128">
        <v>45582</v>
      </c>
      <c r="C139" s="127" t="s">
        <v>26</v>
      </c>
      <c r="D139" s="127" t="s">
        <v>27</v>
      </c>
      <c r="E139" s="127" t="s">
        <v>32</v>
      </c>
      <c r="F139" s="127" t="s">
        <v>554</v>
      </c>
      <c r="G139" t="s">
        <v>552</v>
      </c>
      <c r="H139">
        <v>20306364945</v>
      </c>
      <c r="I139" t="s">
        <v>811</v>
      </c>
      <c r="J139" s="127" t="s">
        <v>381</v>
      </c>
      <c r="K139" s="123">
        <v>4165000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4165000</v>
      </c>
      <c r="V139" s="123">
        <v>4165000</v>
      </c>
      <c r="W139" s="123">
        <v>0</v>
      </c>
      <c r="X139" s="123" t="s">
        <v>325</v>
      </c>
    </row>
    <row r="140" spans="1:33" x14ac:dyDescent="0.3">
      <c r="A140" s="127" t="s">
        <v>337</v>
      </c>
      <c r="B140" s="128">
        <v>45582</v>
      </c>
      <c r="C140" s="127" t="s">
        <v>26</v>
      </c>
      <c r="D140" s="127" t="s">
        <v>27</v>
      </c>
      <c r="E140" s="127" t="s">
        <v>28</v>
      </c>
      <c r="F140" s="127" t="s">
        <v>422</v>
      </c>
      <c r="G140" t="s">
        <v>224</v>
      </c>
      <c r="H140">
        <v>27376021829</v>
      </c>
      <c r="I140" t="s">
        <v>570</v>
      </c>
      <c r="J140" s="127" t="s">
        <v>381</v>
      </c>
      <c r="K140" s="123">
        <v>398900</v>
      </c>
      <c r="L140" s="123">
        <v>0</v>
      </c>
      <c r="M140" s="123">
        <v>0</v>
      </c>
      <c r="N140" s="123">
        <v>0</v>
      </c>
      <c r="O140" s="123">
        <v>0</v>
      </c>
      <c r="P140" s="123">
        <v>0</v>
      </c>
      <c r="Q140" s="123">
        <v>0</v>
      </c>
      <c r="R140" s="123">
        <v>0</v>
      </c>
      <c r="S140" s="123">
        <v>0</v>
      </c>
      <c r="T140" s="123">
        <v>0</v>
      </c>
      <c r="U140" s="123">
        <v>398900</v>
      </c>
      <c r="V140" s="123">
        <v>398900</v>
      </c>
      <c r="W140" s="123">
        <v>0</v>
      </c>
      <c r="X140" s="123" t="s">
        <v>324</v>
      </c>
      <c r="Y140" s="122">
        <v>45583</v>
      </c>
      <c r="Z140" s="123">
        <v>398900</v>
      </c>
      <c r="AF140" s="123">
        <v>0</v>
      </c>
    </row>
    <row r="141" spans="1:33" x14ac:dyDescent="0.3">
      <c r="A141" s="127" t="s">
        <v>337</v>
      </c>
      <c r="B141" s="128">
        <v>45582</v>
      </c>
      <c r="C141" s="127" t="s">
        <v>26</v>
      </c>
      <c r="D141" s="127" t="s">
        <v>27</v>
      </c>
      <c r="E141" s="127" t="s">
        <v>28</v>
      </c>
      <c r="F141" s="127" t="s">
        <v>227</v>
      </c>
      <c r="G141" t="s">
        <v>566</v>
      </c>
      <c r="H141">
        <v>23373034894</v>
      </c>
      <c r="I141" t="s">
        <v>567</v>
      </c>
      <c r="J141" s="127" t="s">
        <v>381</v>
      </c>
      <c r="K141" s="123">
        <v>281100</v>
      </c>
      <c r="L141" s="123">
        <v>0</v>
      </c>
      <c r="M141" s="123">
        <v>0</v>
      </c>
      <c r="N141" s="123">
        <v>0</v>
      </c>
      <c r="O141" s="123">
        <v>0</v>
      </c>
      <c r="P141" s="123">
        <v>0</v>
      </c>
      <c r="Q141" s="123">
        <v>0</v>
      </c>
      <c r="R141" s="123">
        <v>0</v>
      </c>
      <c r="S141" s="123">
        <v>0</v>
      </c>
      <c r="T141" s="123">
        <v>0</v>
      </c>
      <c r="U141" s="123">
        <v>281100</v>
      </c>
      <c r="V141" s="123">
        <v>281100</v>
      </c>
      <c r="W141" s="123">
        <v>0</v>
      </c>
      <c r="X141" s="123" t="s">
        <v>324</v>
      </c>
      <c r="Y141" s="122">
        <v>45582</v>
      </c>
      <c r="Z141" s="123">
        <v>281100</v>
      </c>
      <c r="AF141" s="123">
        <v>0</v>
      </c>
    </row>
    <row r="142" spans="1:33" x14ac:dyDescent="0.3">
      <c r="A142" s="127" t="s">
        <v>337</v>
      </c>
      <c r="B142" s="128">
        <v>45582</v>
      </c>
      <c r="C142" s="127" t="s">
        <v>26</v>
      </c>
      <c r="D142" s="127" t="s">
        <v>27</v>
      </c>
      <c r="E142" s="127" t="s">
        <v>37</v>
      </c>
      <c r="F142" s="127" t="s">
        <v>549</v>
      </c>
      <c r="G142" t="s">
        <v>53</v>
      </c>
      <c r="H142">
        <v>23286334334</v>
      </c>
      <c r="I142" t="s">
        <v>548</v>
      </c>
      <c r="J142" s="127" t="s">
        <v>381</v>
      </c>
      <c r="K142" s="123">
        <v>326400</v>
      </c>
      <c r="L142" s="123">
        <v>0</v>
      </c>
      <c r="M142" s="123">
        <v>0</v>
      </c>
      <c r="N142" s="123">
        <v>0</v>
      </c>
      <c r="O142" s="123">
        <v>0</v>
      </c>
      <c r="P142" s="123">
        <v>0</v>
      </c>
      <c r="Q142" s="123">
        <v>0</v>
      </c>
      <c r="R142" s="123">
        <v>0</v>
      </c>
      <c r="S142" s="123">
        <v>0</v>
      </c>
      <c r="T142" s="123">
        <v>0</v>
      </c>
      <c r="U142" s="123">
        <v>326400</v>
      </c>
      <c r="V142" s="123">
        <v>326400</v>
      </c>
      <c r="W142" s="123">
        <v>0</v>
      </c>
      <c r="X142" s="123" t="s">
        <v>324</v>
      </c>
      <c r="Y142" s="122">
        <v>45582</v>
      </c>
      <c r="Z142" s="123">
        <v>326400</v>
      </c>
      <c r="AF142" s="123">
        <v>0</v>
      </c>
    </row>
    <row r="143" spans="1:33" x14ac:dyDescent="0.3">
      <c r="A143" s="127" t="s">
        <v>337</v>
      </c>
      <c r="B143" s="128">
        <v>45582</v>
      </c>
      <c r="C143" s="127" t="s">
        <v>26</v>
      </c>
      <c r="D143" s="127" t="s">
        <v>58</v>
      </c>
      <c r="E143" s="127" t="s">
        <v>37</v>
      </c>
      <c r="F143" s="127" t="s">
        <v>706</v>
      </c>
      <c r="G143" t="s">
        <v>131</v>
      </c>
      <c r="H143">
        <v>30712291237</v>
      </c>
      <c r="I143" t="s">
        <v>132</v>
      </c>
      <c r="J143" s="127" t="s">
        <v>381</v>
      </c>
      <c r="K143" s="123">
        <v>288660</v>
      </c>
      <c r="L143" s="123">
        <v>60618.6</v>
      </c>
      <c r="M143" s="123">
        <v>0</v>
      </c>
      <c r="N143" s="123">
        <v>0</v>
      </c>
      <c r="O143" s="123">
        <v>0</v>
      </c>
      <c r="P143" s="123">
        <v>0</v>
      </c>
      <c r="Q143" s="123">
        <v>0</v>
      </c>
      <c r="R143" s="123">
        <v>0</v>
      </c>
      <c r="S143" s="123">
        <v>0</v>
      </c>
      <c r="T143" s="123">
        <v>60618.6</v>
      </c>
      <c r="U143" s="123">
        <v>349278.6</v>
      </c>
      <c r="V143" s="123">
        <v>349278.6</v>
      </c>
      <c r="W143" s="123">
        <v>0</v>
      </c>
      <c r="X143" s="123" t="s">
        <v>325</v>
      </c>
    </row>
    <row r="144" spans="1:33" x14ac:dyDescent="0.3">
      <c r="A144" s="127" t="s">
        <v>337</v>
      </c>
      <c r="B144" s="128">
        <v>45582</v>
      </c>
      <c r="C144" s="127" t="s">
        <v>402</v>
      </c>
      <c r="D144" s="127" t="s">
        <v>27</v>
      </c>
      <c r="E144" s="127" t="s">
        <v>28</v>
      </c>
      <c r="F144" s="127" t="s">
        <v>172</v>
      </c>
      <c r="G144" t="s">
        <v>258</v>
      </c>
      <c r="H144">
        <v>27373720904</v>
      </c>
      <c r="I144" t="s">
        <v>542</v>
      </c>
      <c r="J144" s="127" t="s">
        <v>381</v>
      </c>
      <c r="K144" s="123">
        <v>129200</v>
      </c>
      <c r="L144" s="123">
        <v>0</v>
      </c>
      <c r="M144" s="123">
        <v>0</v>
      </c>
      <c r="N144" s="123">
        <v>0</v>
      </c>
      <c r="O144" s="123">
        <v>0</v>
      </c>
      <c r="P144" s="123">
        <v>0</v>
      </c>
      <c r="Q144" s="123">
        <v>0</v>
      </c>
      <c r="R144" s="123">
        <v>0</v>
      </c>
      <c r="S144" s="123">
        <v>0</v>
      </c>
      <c r="T144" s="123">
        <v>0</v>
      </c>
      <c r="U144" s="123">
        <v>129200</v>
      </c>
      <c r="V144" s="123">
        <v>129200</v>
      </c>
      <c r="W144" s="123">
        <v>0</v>
      </c>
      <c r="X144" s="123" t="s">
        <v>324</v>
      </c>
      <c r="Y144" s="122">
        <v>45582</v>
      </c>
      <c r="Z144" s="123">
        <v>129200</v>
      </c>
      <c r="AF144" s="123">
        <v>0</v>
      </c>
    </row>
    <row r="145" spans="1:32" x14ac:dyDescent="0.3">
      <c r="A145" s="127" t="s">
        <v>337</v>
      </c>
      <c r="B145" s="128">
        <v>45583</v>
      </c>
      <c r="C145" s="127" t="s">
        <v>26</v>
      </c>
      <c r="D145" s="127" t="s">
        <v>58</v>
      </c>
      <c r="E145" s="127" t="s">
        <v>686</v>
      </c>
      <c r="F145" s="127" t="s">
        <v>685</v>
      </c>
      <c r="G145" t="s">
        <v>681</v>
      </c>
      <c r="H145">
        <v>30711230862</v>
      </c>
      <c r="I145" t="s">
        <v>62</v>
      </c>
      <c r="J145" s="127" t="s">
        <v>381</v>
      </c>
      <c r="K145" s="123">
        <v>19005.2</v>
      </c>
      <c r="L145" s="123">
        <v>3991.0920000000001</v>
      </c>
      <c r="M145" s="123">
        <v>0</v>
      </c>
      <c r="N145" s="123">
        <v>0</v>
      </c>
      <c r="O145" s="123">
        <v>0</v>
      </c>
      <c r="P145" s="123">
        <v>0</v>
      </c>
      <c r="Q145" s="123">
        <v>0</v>
      </c>
      <c r="R145" s="123">
        <v>684.18720000000008</v>
      </c>
      <c r="S145" s="123">
        <v>0</v>
      </c>
      <c r="T145" s="123">
        <v>3991.0920000000001</v>
      </c>
      <c r="U145" s="123">
        <v>23680.479200000002</v>
      </c>
      <c r="V145" s="123">
        <v>23680.479200000002</v>
      </c>
      <c r="W145" s="123">
        <v>0</v>
      </c>
      <c r="X145" s="123" t="s">
        <v>324</v>
      </c>
      <c r="Y145" s="122">
        <v>45583</v>
      </c>
      <c r="Z145" s="123">
        <v>0</v>
      </c>
      <c r="AF145" s="123">
        <v>23680.479200000002</v>
      </c>
    </row>
    <row r="146" spans="1:32" x14ac:dyDescent="0.3">
      <c r="A146" s="127" t="s">
        <v>337</v>
      </c>
      <c r="B146" s="128">
        <v>45583</v>
      </c>
      <c r="C146" s="127" t="s">
        <v>26</v>
      </c>
      <c r="D146" s="127" t="s">
        <v>27</v>
      </c>
      <c r="E146" s="127" t="s">
        <v>37</v>
      </c>
      <c r="F146" s="127" t="s">
        <v>176</v>
      </c>
      <c r="G146" t="s">
        <v>580</v>
      </c>
      <c r="H146">
        <v>27434393774</v>
      </c>
      <c r="I146" t="s">
        <v>581</v>
      </c>
      <c r="J146" s="127" t="s">
        <v>381</v>
      </c>
      <c r="K146" s="123">
        <v>24000</v>
      </c>
      <c r="L146" s="123">
        <v>0</v>
      </c>
      <c r="M146" s="123">
        <v>0</v>
      </c>
      <c r="N146" s="123">
        <v>0</v>
      </c>
      <c r="O146" s="123">
        <v>0</v>
      </c>
      <c r="P146" s="123">
        <v>0</v>
      </c>
      <c r="Q146" s="123">
        <v>0</v>
      </c>
      <c r="R146" s="123">
        <v>0</v>
      </c>
      <c r="S146" s="123">
        <v>0</v>
      </c>
      <c r="T146" s="123">
        <v>0</v>
      </c>
      <c r="U146" s="123">
        <v>24000</v>
      </c>
      <c r="V146" s="123">
        <v>24000</v>
      </c>
      <c r="W146" s="123">
        <v>0</v>
      </c>
      <c r="X146" s="123" t="s">
        <v>324</v>
      </c>
      <c r="Y146" s="122">
        <v>45583</v>
      </c>
      <c r="Z146" s="123">
        <v>24000</v>
      </c>
      <c r="AF146" s="123">
        <v>0</v>
      </c>
    </row>
    <row r="147" spans="1:32" x14ac:dyDescent="0.3">
      <c r="A147" s="127" t="s">
        <v>337</v>
      </c>
      <c r="B147" s="128">
        <v>45583</v>
      </c>
      <c r="C147" s="127" t="s">
        <v>26</v>
      </c>
      <c r="D147" s="127" t="s">
        <v>58</v>
      </c>
      <c r="E147" s="127" t="s">
        <v>64</v>
      </c>
      <c r="F147" s="127" t="s">
        <v>677</v>
      </c>
      <c r="G147" t="s">
        <v>66</v>
      </c>
      <c r="H147">
        <v>30673770483</v>
      </c>
      <c r="I147" t="s">
        <v>62</v>
      </c>
      <c r="J147" s="127" t="s">
        <v>381</v>
      </c>
      <c r="K147" s="123">
        <v>9951.07</v>
      </c>
      <c r="L147" s="123">
        <v>2089.7246999999998</v>
      </c>
      <c r="M147" s="123">
        <v>0</v>
      </c>
      <c r="N147" s="123">
        <v>0</v>
      </c>
      <c r="O147" s="123">
        <v>0</v>
      </c>
      <c r="P147" s="123">
        <v>0</v>
      </c>
      <c r="Q147" s="123">
        <v>0</v>
      </c>
      <c r="R147" s="123">
        <v>358.23852000000005</v>
      </c>
      <c r="S147" s="123">
        <v>0</v>
      </c>
      <c r="T147" s="123">
        <v>2089.7246999999998</v>
      </c>
      <c r="U147" s="123">
        <v>12399.033219999999</v>
      </c>
      <c r="V147" s="123">
        <v>12399.033219999999</v>
      </c>
      <c r="W147" s="123">
        <v>0</v>
      </c>
      <c r="X147" s="123" t="s">
        <v>324</v>
      </c>
      <c r="Y147" s="122">
        <v>45583</v>
      </c>
      <c r="Z147" s="123">
        <v>0</v>
      </c>
      <c r="AF147" s="123">
        <v>12399.033219999999</v>
      </c>
    </row>
    <row r="148" spans="1:32" x14ac:dyDescent="0.3">
      <c r="A148" s="127" t="s">
        <v>337</v>
      </c>
      <c r="B148" s="128">
        <v>45583</v>
      </c>
      <c r="C148" s="127" t="s">
        <v>26</v>
      </c>
      <c r="D148" s="127" t="s">
        <v>58</v>
      </c>
      <c r="E148" s="127" t="s">
        <v>32</v>
      </c>
      <c r="F148" s="127" t="s">
        <v>592</v>
      </c>
      <c r="G148" t="s">
        <v>146</v>
      </c>
      <c r="H148">
        <v>33716385359</v>
      </c>
      <c r="I148" t="s">
        <v>142</v>
      </c>
      <c r="J148" s="127" t="s">
        <v>381</v>
      </c>
      <c r="K148" s="123">
        <v>280720</v>
      </c>
      <c r="L148" s="123">
        <v>58951.199999999997</v>
      </c>
      <c r="M148" s="123">
        <v>0</v>
      </c>
      <c r="N148" s="123">
        <v>0</v>
      </c>
      <c r="O148" s="123">
        <v>0</v>
      </c>
      <c r="P148" s="123">
        <v>258000</v>
      </c>
      <c r="Q148" s="123">
        <v>0</v>
      </c>
      <c r="R148" s="123">
        <v>19393.920000000002</v>
      </c>
      <c r="T148" s="123">
        <v>58951.199999999997</v>
      </c>
      <c r="U148" s="123">
        <v>617065.12</v>
      </c>
      <c r="V148" s="123">
        <v>617065.12</v>
      </c>
      <c r="X148" s="123" t="s">
        <v>325</v>
      </c>
    </row>
    <row r="149" spans="1:32" x14ac:dyDescent="0.3">
      <c r="A149" s="127" t="s">
        <v>337</v>
      </c>
      <c r="B149" s="128">
        <v>45583</v>
      </c>
      <c r="C149" s="127" t="s">
        <v>26</v>
      </c>
      <c r="D149" s="127" t="s">
        <v>58</v>
      </c>
      <c r="E149" s="127" t="s">
        <v>674</v>
      </c>
      <c r="F149" s="127" t="s">
        <v>675</v>
      </c>
      <c r="G149" t="s">
        <v>109</v>
      </c>
      <c r="H149">
        <v>27172337568</v>
      </c>
      <c r="I149" t="s">
        <v>96</v>
      </c>
      <c r="J149" s="127" t="s">
        <v>381</v>
      </c>
      <c r="K149" s="123">
        <v>9846.07</v>
      </c>
      <c r="L149" s="123">
        <v>2067.6747</v>
      </c>
      <c r="M149" s="123">
        <v>0</v>
      </c>
      <c r="N149" s="123">
        <v>0</v>
      </c>
      <c r="O149" s="123">
        <v>0</v>
      </c>
      <c r="P149" s="123">
        <v>0</v>
      </c>
      <c r="Q149" s="123">
        <v>0</v>
      </c>
      <c r="R149" s="123">
        <v>0</v>
      </c>
      <c r="S149" s="123">
        <v>0</v>
      </c>
      <c r="T149" s="123">
        <v>2067.6747</v>
      </c>
      <c r="U149" s="123">
        <v>11913.744699999999</v>
      </c>
      <c r="V149" s="123">
        <v>11913.744699999999</v>
      </c>
      <c r="W149" s="123">
        <v>0</v>
      </c>
      <c r="X149" s="123" t="s">
        <v>324</v>
      </c>
      <c r="Y149" s="122">
        <v>45583</v>
      </c>
      <c r="Z149" s="123">
        <v>0</v>
      </c>
      <c r="AF149" s="123">
        <v>11913.744699999999</v>
      </c>
    </row>
    <row r="150" spans="1:32" x14ac:dyDescent="0.3">
      <c r="A150" s="127" t="s">
        <v>337</v>
      </c>
      <c r="B150" s="128">
        <v>45583</v>
      </c>
      <c r="C150" s="127" t="s">
        <v>26</v>
      </c>
      <c r="D150" s="127" t="s">
        <v>27</v>
      </c>
      <c r="E150" s="127" t="s">
        <v>28</v>
      </c>
      <c r="F150" s="127" t="s">
        <v>568</v>
      </c>
      <c r="G150" t="s">
        <v>218</v>
      </c>
      <c r="H150">
        <v>23375110199</v>
      </c>
      <c r="I150" t="s">
        <v>569</v>
      </c>
      <c r="J150" s="127" t="s">
        <v>381</v>
      </c>
      <c r="K150" s="123">
        <v>230000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230000</v>
      </c>
      <c r="V150" s="123">
        <v>230000</v>
      </c>
      <c r="W150" s="123">
        <v>0</v>
      </c>
      <c r="X150" s="123" t="s">
        <v>324</v>
      </c>
      <c r="Y150" s="122">
        <v>45583</v>
      </c>
      <c r="Z150" s="123">
        <v>230000</v>
      </c>
      <c r="AF150" s="123">
        <v>0</v>
      </c>
    </row>
    <row r="151" spans="1:32" x14ac:dyDescent="0.3">
      <c r="A151" s="127" t="s">
        <v>337</v>
      </c>
      <c r="B151" s="128">
        <v>45583</v>
      </c>
      <c r="C151" s="127" t="s">
        <v>26</v>
      </c>
      <c r="D151" s="127" t="s">
        <v>70</v>
      </c>
      <c r="E151" s="127" t="s">
        <v>716</v>
      </c>
      <c r="F151" s="127" t="s">
        <v>745</v>
      </c>
      <c r="G151" t="s">
        <v>746</v>
      </c>
      <c r="H151">
        <v>20311306309</v>
      </c>
      <c r="I151" t="s">
        <v>747</v>
      </c>
      <c r="J151" s="127" t="s">
        <v>381</v>
      </c>
      <c r="K151" s="123">
        <v>1100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1100</v>
      </c>
      <c r="V151" s="123">
        <v>1100</v>
      </c>
      <c r="W151" s="123">
        <v>0</v>
      </c>
      <c r="X151" s="123" t="s">
        <v>324</v>
      </c>
      <c r="Y151" s="122">
        <v>45583</v>
      </c>
      <c r="Z151" s="123">
        <v>0</v>
      </c>
      <c r="AF151" s="123">
        <v>1100</v>
      </c>
    </row>
    <row r="152" spans="1:32" x14ac:dyDescent="0.3">
      <c r="A152" s="127" t="s">
        <v>337</v>
      </c>
      <c r="B152" s="128">
        <v>45583</v>
      </c>
      <c r="C152" s="127" t="s">
        <v>26</v>
      </c>
      <c r="D152" s="127" t="s">
        <v>70</v>
      </c>
      <c r="E152" s="127" t="s">
        <v>716</v>
      </c>
      <c r="F152" s="127" t="s">
        <v>748</v>
      </c>
      <c r="G152" t="s">
        <v>746</v>
      </c>
      <c r="H152">
        <v>20311306309</v>
      </c>
      <c r="I152" t="s">
        <v>747</v>
      </c>
      <c r="J152" s="127" t="s">
        <v>381</v>
      </c>
      <c r="K152" s="123">
        <v>3800</v>
      </c>
      <c r="L152" s="123">
        <v>0</v>
      </c>
      <c r="M152" s="123">
        <v>0</v>
      </c>
      <c r="N152" s="123">
        <v>0</v>
      </c>
      <c r="O152" s="123">
        <v>0</v>
      </c>
      <c r="P152" s="123">
        <v>0</v>
      </c>
      <c r="Q152" s="123">
        <v>0</v>
      </c>
      <c r="R152" s="123">
        <v>0</v>
      </c>
      <c r="S152" s="123">
        <v>0</v>
      </c>
      <c r="T152" s="123">
        <v>0</v>
      </c>
      <c r="U152" s="123">
        <v>3800</v>
      </c>
      <c r="V152" s="123">
        <v>3800</v>
      </c>
      <c r="W152" s="123">
        <v>0</v>
      </c>
      <c r="X152" s="123" t="s">
        <v>324</v>
      </c>
      <c r="Y152" s="122">
        <v>45583</v>
      </c>
      <c r="Z152" s="123">
        <v>0</v>
      </c>
      <c r="AF152" s="123">
        <v>3800</v>
      </c>
    </row>
    <row r="153" spans="1:32" x14ac:dyDescent="0.3">
      <c r="A153" s="127" t="s">
        <v>337</v>
      </c>
      <c r="B153" s="128">
        <v>45583</v>
      </c>
      <c r="C153" s="127" t="s">
        <v>26</v>
      </c>
      <c r="D153" s="127" t="s">
        <v>27</v>
      </c>
      <c r="E153" s="127" t="s">
        <v>37</v>
      </c>
      <c r="F153" s="127" t="s">
        <v>571</v>
      </c>
      <c r="G153" t="s">
        <v>230</v>
      </c>
      <c r="H153">
        <v>27432189045</v>
      </c>
      <c r="I153" t="s">
        <v>572</v>
      </c>
      <c r="J153" s="127" t="s">
        <v>381</v>
      </c>
      <c r="K153" s="123">
        <v>280000</v>
      </c>
      <c r="L153" s="123">
        <v>0</v>
      </c>
      <c r="M153" s="123">
        <v>0</v>
      </c>
      <c r="N153" s="123">
        <v>0</v>
      </c>
      <c r="O153" s="123">
        <v>0</v>
      </c>
      <c r="P153" s="123">
        <v>0</v>
      </c>
      <c r="Q153" s="123">
        <v>0</v>
      </c>
      <c r="R153" s="123">
        <v>0</v>
      </c>
      <c r="S153" s="123">
        <v>0</v>
      </c>
      <c r="T153" s="123">
        <v>0</v>
      </c>
      <c r="U153" s="123">
        <v>280000</v>
      </c>
      <c r="V153" s="123">
        <v>280000</v>
      </c>
      <c r="W153" s="123">
        <v>0</v>
      </c>
      <c r="X153" s="123" t="s">
        <v>324</v>
      </c>
      <c r="Y153" s="122">
        <v>45583</v>
      </c>
      <c r="Z153" s="123">
        <v>280000</v>
      </c>
      <c r="AF153" s="123">
        <v>0</v>
      </c>
    </row>
    <row r="154" spans="1:32" x14ac:dyDescent="0.3">
      <c r="A154" s="127" t="s">
        <v>337</v>
      </c>
      <c r="B154" s="128">
        <v>45586</v>
      </c>
      <c r="C154" s="127" t="s">
        <v>26</v>
      </c>
      <c r="D154" s="127" t="s">
        <v>27</v>
      </c>
      <c r="E154" s="127" t="s">
        <v>37</v>
      </c>
      <c r="F154" s="127" t="s">
        <v>169</v>
      </c>
      <c r="G154" t="s">
        <v>607</v>
      </c>
      <c r="H154">
        <v>20350274716</v>
      </c>
      <c r="I154" t="s">
        <v>608</v>
      </c>
      <c r="J154" s="127" t="s">
        <v>381</v>
      </c>
      <c r="K154" s="123">
        <v>595000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595000</v>
      </c>
      <c r="V154" s="123">
        <v>595000</v>
      </c>
      <c r="W154" s="123">
        <v>0</v>
      </c>
      <c r="X154" s="123" t="s">
        <v>324</v>
      </c>
      <c r="Y154" s="122">
        <v>45588</v>
      </c>
      <c r="Z154" s="123">
        <v>595000</v>
      </c>
      <c r="AF154" s="123">
        <v>0</v>
      </c>
    </row>
    <row r="155" spans="1:32" x14ac:dyDescent="0.3">
      <c r="A155" s="127" t="s">
        <v>337</v>
      </c>
      <c r="B155" s="128">
        <v>45586</v>
      </c>
      <c r="C155" s="127" t="s">
        <v>26</v>
      </c>
      <c r="D155" s="127" t="s">
        <v>58</v>
      </c>
      <c r="E155" s="127" t="s">
        <v>28</v>
      </c>
      <c r="F155" s="127" t="s">
        <v>47</v>
      </c>
      <c r="G155" t="s">
        <v>483</v>
      </c>
      <c r="H155">
        <v>33718560999</v>
      </c>
      <c r="I155" t="s">
        <v>557</v>
      </c>
      <c r="J155" s="127" t="s">
        <v>381</v>
      </c>
      <c r="K155" s="123">
        <v>192971.67</v>
      </c>
      <c r="L155" s="123">
        <v>40524.0507</v>
      </c>
      <c r="M155" s="123">
        <v>0</v>
      </c>
      <c r="N155" s="123">
        <v>0</v>
      </c>
      <c r="O155" s="123">
        <v>0</v>
      </c>
      <c r="P155" s="123">
        <v>0</v>
      </c>
      <c r="Q155" s="123">
        <v>0</v>
      </c>
      <c r="R155" s="123">
        <v>0</v>
      </c>
      <c r="S155" s="123">
        <v>0</v>
      </c>
      <c r="T155" s="123">
        <v>40524.0507</v>
      </c>
      <c r="U155" s="123">
        <v>233495.72070000001</v>
      </c>
      <c r="V155" s="123">
        <v>233495.72070000001</v>
      </c>
      <c r="W155" s="123">
        <v>0</v>
      </c>
      <c r="X155" s="123" t="s">
        <v>324</v>
      </c>
      <c r="Y155" s="122">
        <v>45587</v>
      </c>
      <c r="Z155" s="123">
        <v>233495.72070000001</v>
      </c>
      <c r="AF155" s="123">
        <v>0</v>
      </c>
    </row>
    <row r="156" spans="1:32" x14ac:dyDescent="0.3">
      <c r="A156" s="127" t="s">
        <v>337</v>
      </c>
      <c r="B156" s="128">
        <v>45586</v>
      </c>
      <c r="C156" s="127" t="s">
        <v>402</v>
      </c>
      <c r="D156" s="127" t="s">
        <v>70</v>
      </c>
      <c r="E156" s="127" t="s">
        <v>28</v>
      </c>
      <c r="F156" s="127" t="s">
        <v>689</v>
      </c>
      <c r="G156" t="s">
        <v>690</v>
      </c>
      <c r="H156">
        <v>20304199483</v>
      </c>
      <c r="I156" t="s">
        <v>693</v>
      </c>
      <c r="J156" s="127" t="s">
        <v>381</v>
      </c>
      <c r="K156" s="123">
        <v>3400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0</v>
      </c>
      <c r="R156" s="123">
        <v>0</v>
      </c>
      <c r="S156" s="123">
        <v>0</v>
      </c>
      <c r="T156" s="123">
        <v>0</v>
      </c>
      <c r="U156" s="123">
        <v>3400</v>
      </c>
      <c r="V156" s="123">
        <v>3400</v>
      </c>
      <c r="W156" s="123">
        <v>0</v>
      </c>
      <c r="X156" s="123" t="s">
        <v>324</v>
      </c>
      <c r="Y156" s="122">
        <v>45586</v>
      </c>
      <c r="Z156" s="123">
        <v>0</v>
      </c>
      <c r="AF156" s="123">
        <v>3400</v>
      </c>
    </row>
    <row r="157" spans="1:32" x14ac:dyDescent="0.3">
      <c r="A157" s="127" t="s">
        <v>337</v>
      </c>
      <c r="B157" s="128">
        <v>45586</v>
      </c>
      <c r="C157" s="127" t="s">
        <v>26</v>
      </c>
      <c r="D157" s="127" t="s">
        <v>58</v>
      </c>
      <c r="E157" s="127" t="s">
        <v>37</v>
      </c>
      <c r="F157" s="127" t="s">
        <v>653</v>
      </c>
      <c r="G157" t="s">
        <v>654</v>
      </c>
      <c r="H157">
        <v>33710956109</v>
      </c>
      <c r="I157" t="s">
        <v>655</v>
      </c>
      <c r="J157" s="127" t="s">
        <v>381</v>
      </c>
      <c r="K157" s="123">
        <v>3583400</v>
      </c>
      <c r="L157" s="123">
        <v>752514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752514</v>
      </c>
      <c r="U157" s="123">
        <v>4335914</v>
      </c>
      <c r="V157" s="123">
        <v>4335914</v>
      </c>
      <c r="X157" s="123" t="s">
        <v>325</v>
      </c>
    </row>
    <row r="158" spans="1:32" x14ac:dyDescent="0.3">
      <c r="A158" s="127" t="s">
        <v>337</v>
      </c>
      <c r="B158" s="128">
        <v>45586</v>
      </c>
      <c r="C158" s="127" t="s">
        <v>26</v>
      </c>
      <c r="D158" s="127" t="s">
        <v>58</v>
      </c>
      <c r="E158" s="127" t="s">
        <v>37</v>
      </c>
      <c r="F158" s="127" t="s">
        <v>656</v>
      </c>
      <c r="G158" t="s">
        <v>654</v>
      </c>
      <c r="H158">
        <v>33710956109</v>
      </c>
      <c r="I158" t="s">
        <v>657</v>
      </c>
      <c r="J158" s="127" t="s">
        <v>381</v>
      </c>
      <c r="K158" s="123">
        <v>4495400</v>
      </c>
      <c r="L158" s="123">
        <v>944034</v>
      </c>
      <c r="M158" s="123">
        <v>0</v>
      </c>
      <c r="N158" s="123">
        <v>0</v>
      </c>
      <c r="O158" s="123">
        <v>0</v>
      </c>
      <c r="P158" s="123">
        <v>0</v>
      </c>
      <c r="Q158" s="123">
        <v>0</v>
      </c>
      <c r="R158" s="123">
        <v>0</v>
      </c>
      <c r="S158" s="123">
        <v>0</v>
      </c>
      <c r="T158" s="123">
        <v>944034</v>
      </c>
      <c r="U158" s="123">
        <v>5439434</v>
      </c>
      <c r="V158" s="123">
        <v>5439434</v>
      </c>
      <c r="X158" s="123" t="s">
        <v>325</v>
      </c>
    </row>
    <row r="159" spans="1:32" x14ac:dyDescent="0.3">
      <c r="A159" s="127" t="s">
        <v>337</v>
      </c>
      <c r="B159" s="128">
        <v>45586</v>
      </c>
      <c r="C159" s="127" t="s">
        <v>26</v>
      </c>
      <c r="D159" s="127" t="s">
        <v>58</v>
      </c>
      <c r="E159" s="127" t="s">
        <v>32</v>
      </c>
      <c r="F159" s="127" t="s">
        <v>625</v>
      </c>
      <c r="G159" t="s">
        <v>352</v>
      </c>
      <c r="H159">
        <v>30709932361</v>
      </c>
      <c r="I159" t="s">
        <v>351</v>
      </c>
      <c r="J159" s="127" t="s">
        <v>381</v>
      </c>
      <c r="K159" s="123">
        <v>0</v>
      </c>
      <c r="L159" s="123">
        <v>0</v>
      </c>
      <c r="M159" s="123">
        <v>0</v>
      </c>
      <c r="N159" s="123">
        <v>0</v>
      </c>
      <c r="O159" s="123">
        <v>0</v>
      </c>
      <c r="P159" s="123">
        <v>1189976.6000000001</v>
      </c>
      <c r="Q159" s="123">
        <v>0</v>
      </c>
      <c r="R159" s="123">
        <v>0</v>
      </c>
      <c r="S159" s="123">
        <v>0</v>
      </c>
      <c r="T159" s="123">
        <v>0</v>
      </c>
      <c r="U159" s="123">
        <v>1189976.6000000001</v>
      </c>
      <c r="V159" s="123">
        <v>1189976.6000000001</v>
      </c>
      <c r="W159" s="123">
        <v>0</v>
      </c>
      <c r="X159" s="123" t="s">
        <v>325</v>
      </c>
    </row>
    <row r="160" spans="1:32" x14ac:dyDescent="0.3">
      <c r="A160" s="127" t="s">
        <v>337</v>
      </c>
      <c r="B160" s="128">
        <v>45586</v>
      </c>
      <c r="C160" s="127" t="s">
        <v>434</v>
      </c>
      <c r="D160" s="127" t="s">
        <v>403</v>
      </c>
      <c r="E160" s="127" t="s">
        <v>688</v>
      </c>
      <c r="F160" s="127" t="s">
        <v>689</v>
      </c>
      <c r="G160" t="s">
        <v>406</v>
      </c>
      <c r="H160">
        <v>30111111111</v>
      </c>
      <c r="I160" t="s">
        <v>405</v>
      </c>
      <c r="J160" s="127" t="s">
        <v>381</v>
      </c>
      <c r="K160" s="123">
        <v>3100</v>
      </c>
      <c r="L160" s="123">
        <v>0</v>
      </c>
      <c r="M160" s="123">
        <v>0</v>
      </c>
      <c r="N160" s="123">
        <v>0</v>
      </c>
      <c r="O160" s="123">
        <v>0</v>
      </c>
      <c r="P160" s="123">
        <v>0</v>
      </c>
      <c r="Q160" s="123">
        <v>0</v>
      </c>
      <c r="R160" s="123">
        <v>0</v>
      </c>
      <c r="S160" s="123">
        <v>0</v>
      </c>
      <c r="T160" s="123">
        <v>0</v>
      </c>
      <c r="U160" s="123">
        <v>3100</v>
      </c>
      <c r="V160" s="123">
        <v>3100</v>
      </c>
      <c r="W160" s="123">
        <v>0</v>
      </c>
      <c r="X160" s="123" t="s">
        <v>324</v>
      </c>
      <c r="Y160" s="122">
        <v>45586</v>
      </c>
      <c r="Z160" s="123">
        <v>0</v>
      </c>
      <c r="AF160" s="123">
        <v>3100</v>
      </c>
    </row>
    <row r="161" spans="1:32" x14ac:dyDescent="0.3">
      <c r="A161" s="127" t="s">
        <v>337</v>
      </c>
      <c r="B161" s="128">
        <v>45586</v>
      </c>
      <c r="C161" s="127" t="s">
        <v>26</v>
      </c>
      <c r="D161" s="127" t="s">
        <v>27</v>
      </c>
      <c r="E161" s="127" t="s">
        <v>37</v>
      </c>
      <c r="F161" s="127" t="s">
        <v>555</v>
      </c>
      <c r="G161" t="s">
        <v>395</v>
      </c>
      <c r="H161">
        <v>20286349162</v>
      </c>
      <c r="I161" t="s">
        <v>396</v>
      </c>
      <c r="J161" s="127" t="s">
        <v>381</v>
      </c>
      <c r="K161" s="123">
        <v>200000</v>
      </c>
      <c r="L161" s="123">
        <v>0</v>
      </c>
      <c r="M161" s="123">
        <v>0</v>
      </c>
      <c r="N161" s="123">
        <v>0</v>
      </c>
      <c r="O161" s="123">
        <v>0</v>
      </c>
      <c r="P161" s="123">
        <v>0</v>
      </c>
      <c r="Q161" s="123">
        <v>0</v>
      </c>
      <c r="R161" s="123">
        <v>0</v>
      </c>
      <c r="S161" s="123">
        <v>0</v>
      </c>
      <c r="T161" s="123">
        <v>0</v>
      </c>
      <c r="U161" s="123">
        <v>200000</v>
      </c>
      <c r="V161" s="123">
        <v>200000</v>
      </c>
      <c r="W161" s="123">
        <v>0</v>
      </c>
      <c r="X161" s="123" t="s">
        <v>324</v>
      </c>
      <c r="Y161" s="122">
        <v>45587</v>
      </c>
      <c r="Z161" s="123">
        <v>200000</v>
      </c>
      <c r="AF161" s="123">
        <v>0</v>
      </c>
    </row>
    <row r="162" spans="1:32" x14ac:dyDescent="0.3">
      <c r="A162" s="127" t="s">
        <v>337</v>
      </c>
      <c r="B162" s="128">
        <v>45586</v>
      </c>
      <c r="C162" s="127" t="s">
        <v>26</v>
      </c>
      <c r="D162" s="127" t="s">
        <v>58</v>
      </c>
      <c r="E162" s="127" t="s">
        <v>67</v>
      </c>
      <c r="F162" s="127" t="s">
        <v>669</v>
      </c>
      <c r="G162" t="s">
        <v>670</v>
      </c>
      <c r="H162">
        <v>23165404289</v>
      </c>
      <c r="I162" t="s">
        <v>142</v>
      </c>
      <c r="J162" s="127" t="s">
        <v>381</v>
      </c>
      <c r="K162" s="123">
        <v>9824.5</v>
      </c>
      <c r="L162" s="123">
        <v>2063.145</v>
      </c>
      <c r="M162" s="123">
        <v>0</v>
      </c>
      <c r="N162" s="123">
        <v>0</v>
      </c>
      <c r="O162" s="123">
        <v>0</v>
      </c>
      <c r="P162" s="123">
        <v>0</v>
      </c>
      <c r="Q162" s="123">
        <v>0</v>
      </c>
      <c r="R162" s="123">
        <v>353.68200000000002</v>
      </c>
      <c r="S162" s="123">
        <v>0</v>
      </c>
      <c r="T162" s="123">
        <v>2063.145</v>
      </c>
      <c r="U162" s="123">
        <v>12241.327000000001</v>
      </c>
      <c r="V162" s="123">
        <v>12241.327000000001</v>
      </c>
      <c r="X162" s="123" t="s">
        <v>325</v>
      </c>
    </row>
    <row r="163" spans="1:32" x14ac:dyDescent="0.3">
      <c r="A163" s="127" t="s">
        <v>337</v>
      </c>
      <c r="B163" s="128">
        <v>45586</v>
      </c>
      <c r="C163" s="127" t="s">
        <v>26</v>
      </c>
      <c r="D163" s="127" t="s">
        <v>27</v>
      </c>
      <c r="E163" s="127" t="s">
        <v>37</v>
      </c>
      <c r="F163" s="127" t="s">
        <v>598</v>
      </c>
      <c r="G163" t="s">
        <v>234</v>
      </c>
      <c r="H163">
        <v>20271839503</v>
      </c>
      <c r="I163" t="s">
        <v>599</v>
      </c>
      <c r="J163" s="127" t="s">
        <v>381</v>
      </c>
      <c r="K163" s="123">
        <v>337463.24</v>
      </c>
      <c r="L163" s="123">
        <v>0</v>
      </c>
      <c r="M163" s="123">
        <v>0</v>
      </c>
      <c r="N163" s="123">
        <v>0</v>
      </c>
      <c r="O163" s="123">
        <v>0</v>
      </c>
      <c r="P163" s="123">
        <v>0</v>
      </c>
      <c r="Q163" s="123">
        <v>0</v>
      </c>
      <c r="R163" s="123">
        <v>0</v>
      </c>
      <c r="S163" s="123">
        <v>0</v>
      </c>
      <c r="T163" s="123">
        <v>0</v>
      </c>
      <c r="U163" s="123">
        <v>337463.24</v>
      </c>
      <c r="V163" s="123">
        <v>337463.24</v>
      </c>
      <c r="W163" s="123">
        <v>0</v>
      </c>
      <c r="X163" s="123" t="s">
        <v>324</v>
      </c>
      <c r="Y163" s="122">
        <v>45587</v>
      </c>
      <c r="Z163" s="123">
        <v>337463.24</v>
      </c>
    </row>
    <row r="164" spans="1:32" x14ac:dyDescent="0.3">
      <c r="A164" s="127" t="s">
        <v>337</v>
      </c>
      <c r="B164" s="128">
        <v>45587</v>
      </c>
      <c r="C164" s="127" t="s">
        <v>26</v>
      </c>
      <c r="D164" s="127" t="s">
        <v>58</v>
      </c>
      <c r="E164" s="127" t="s">
        <v>74</v>
      </c>
      <c r="F164" s="127" t="s">
        <v>600</v>
      </c>
      <c r="G164" t="s">
        <v>601</v>
      </c>
      <c r="H164">
        <v>30592615661</v>
      </c>
      <c r="I164" t="s">
        <v>606</v>
      </c>
      <c r="J164" s="127" t="s">
        <v>381</v>
      </c>
      <c r="K164" s="123">
        <v>732099.19</v>
      </c>
      <c r="L164" s="123">
        <v>153740.82989999998</v>
      </c>
      <c r="M164" s="123">
        <v>0</v>
      </c>
      <c r="N164" s="123">
        <v>0</v>
      </c>
      <c r="O164" s="123">
        <v>0</v>
      </c>
      <c r="P164" s="123">
        <v>0</v>
      </c>
      <c r="Q164" s="123">
        <v>0</v>
      </c>
      <c r="R164" s="123">
        <v>0</v>
      </c>
      <c r="S164" s="123">
        <v>13177.78542</v>
      </c>
      <c r="T164" s="123">
        <v>153740.82989999998</v>
      </c>
      <c r="U164" s="123">
        <v>899017.80531999993</v>
      </c>
      <c r="V164" s="123">
        <v>899017.80531999993</v>
      </c>
      <c r="W164" s="123">
        <v>95123.46</v>
      </c>
      <c r="X164" s="123" t="s">
        <v>324</v>
      </c>
      <c r="Y164" s="122">
        <v>45587</v>
      </c>
      <c r="Z164" s="123">
        <v>803894.34531999996</v>
      </c>
      <c r="AF164" s="123">
        <v>0</v>
      </c>
    </row>
    <row r="165" spans="1:32" x14ac:dyDescent="0.3">
      <c r="A165" s="127" t="s">
        <v>337</v>
      </c>
      <c r="B165" s="128">
        <v>45587</v>
      </c>
      <c r="C165" s="127" t="s">
        <v>26</v>
      </c>
      <c r="D165" s="127" t="s">
        <v>58</v>
      </c>
      <c r="E165" s="127" t="s">
        <v>74</v>
      </c>
      <c r="F165" s="127" t="s">
        <v>602</v>
      </c>
      <c r="G165" t="s">
        <v>601</v>
      </c>
      <c r="H165">
        <v>30592615661</v>
      </c>
      <c r="I165" t="s">
        <v>604</v>
      </c>
      <c r="J165" s="127" t="s">
        <v>381</v>
      </c>
      <c r="K165" s="123">
        <v>1691243.74</v>
      </c>
      <c r="L165" s="123">
        <v>355161.18539999996</v>
      </c>
      <c r="M165" s="123">
        <v>0</v>
      </c>
      <c r="N165" s="123">
        <v>0</v>
      </c>
      <c r="O165" s="123">
        <v>0</v>
      </c>
      <c r="P165" s="123">
        <v>0</v>
      </c>
      <c r="Q165" s="123">
        <v>0</v>
      </c>
      <c r="R165" s="123">
        <v>0</v>
      </c>
      <c r="S165" s="123">
        <v>30442.387320000002</v>
      </c>
      <c r="T165" s="123">
        <v>355161.18539999996</v>
      </c>
      <c r="U165" s="123">
        <v>2076847.31272</v>
      </c>
      <c r="V165" s="123">
        <v>2076847.31272</v>
      </c>
      <c r="W165" s="123">
        <v>0</v>
      </c>
      <c r="X165" s="123" t="s">
        <v>324</v>
      </c>
      <c r="Y165" s="122">
        <v>45587</v>
      </c>
      <c r="Z165" s="123">
        <v>2076847.31272</v>
      </c>
      <c r="AF165" s="123">
        <v>0</v>
      </c>
    </row>
    <row r="166" spans="1:32" x14ac:dyDescent="0.3">
      <c r="A166" s="127" t="s">
        <v>337</v>
      </c>
      <c r="B166" s="128">
        <v>45587</v>
      </c>
      <c r="C166" s="127" t="s">
        <v>26</v>
      </c>
      <c r="D166" s="127" t="s">
        <v>58</v>
      </c>
      <c r="E166" s="127" t="s">
        <v>74</v>
      </c>
      <c r="F166" s="127" t="s">
        <v>603</v>
      </c>
      <c r="G166" t="s">
        <v>601</v>
      </c>
      <c r="H166">
        <v>30592615661</v>
      </c>
      <c r="I166" t="s">
        <v>605</v>
      </c>
      <c r="J166" s="127" t="s">
        <v>381</v>
      </c>
      <c r="K166" s="123">
        <v>2400000</v>
      </c>
      <c r="L166" s="123">
        <v>504000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43200.000000000007</v>
      </c>
      <c r="T166" s="123">
        <v>504000</v>
      </c>
      <c r="U166" s="123">
        <v>2947200</v>
      </c>
      <c r="V166" s="123">
        <v>2947200</v>
      </c>
      <c r="W166" s="123">
        <v>0</v>
      </c>
      <c r="X166" s="123" t="s">
        <v>324</v>
      </c>
      <c r="Y166" s="122">
        <v>45587</v>
      </c>
      <c r="Z166" s="123">
        <v>2947200</v>
      </c>
      <c r="AF166" s="123">
        <v>0</v>
      </c>
    </row>
    <row r="167" spans="1:32" x14ac:dyDescent="0.3">
      <c r="A167" s="127" t="s">
        <v>337</v>
      </c>
      <c r="B167" s="128">
        <v>45587</v>
      </c>
      <c r="C167" s="127" t="s">
        <v>26</v>
      </c>
      <c r="D167" s="127" t="s">
        <v>58</v>
      </c>
      <c r="E167" s="127" t="s">
        <v>37</v>
      </c>
      <c r="F167" s="127" t="s">
        <v>658</v>
      </c>
      <c r="G167" t="s">
        <v>654</v>
      </c>
      <c r="H167">
        <v>33710956109</v>
      </c>
      <c r="I167" t="s">
        <v>659</v>
      </c>
      <c r="J167" s="127" t="s">
        <v>381</v>
      </c>
      <c r="K167" s="123">
        <v>4275000</v>
      </c>
      <c r="L167" s="123">
        <v>897750</v>
      </c>
      <c r="M167" s="123">
        <v>0</v>
      </c>
      <c r="N167" s="123">
        <v>0</v>
      </c>
      <c r="O167" s="123">
        <v>0</v>
      </c>
      <c r="P167" s="123">
        <v>0</v>
      </c>
      <c r="Q167" s="123">
        <v>0</v>
      </c>
      <c r="R167" s="123">
        <v>0</v>
      </c>
      <c r="S167" s="123">
        <v>0</v>
      </c>
      <c r="T167" s="123">
        <v>897750</v>
      </c>
      <c r="U167" s="123">
        <v>5172750</v>
      </c>
      <c r="V167" s="123">
        <v>5172750</v>
      </c>
      <c r="X167" s="123" t="s">
        <v>325</v>
      </c>
    </row>
    <row r="168" spans="1:32" x14ac:dyDescent="0.3">
      <c r="A168" s="127" t="s">
        <v>337</v>
      </c>
      <c r="B168" s="128">
        <v>45587</v>
      </c>
      <c r="C168" s="127" t="s">
        <v>26</v>
      </c>
      <c r="D168" s="127" t="s">
        <v>58</v>
      </c>
      <c r="E168" s="127" t="s">
        <v>32</v>
      </c>
      <c r="F168" s="127" t="s">
        <v>609</v>
      </c>
      <c r="G168" t="s">
        <v>146</v>
      </c>
      <c r="H168">
        <v>33716385359</v>
      </c>
      <c r="I168" t="s">
        <v>142</v>
      </c>
      <c r="J168" s="127" t="s">
        <v>381</v>
      </c>
      <c r="K168" s="123">
        <v>31900</v>
      </c>
      <c r="L168" s="123">
        <v>6699</v>
      </c>
      <c r="M168" s="123">
        <v>0</v>
      </c>
      <c r="N168" s="123">
        <v>0</v>
      </c>
      <c r="O168" s="123">
        <v>0</v>
      </c>
      <c r="P168" s="123">
        <v>186975</v>
      </c>
      <c r="Q168" s="123">
        <v>0</v>
      </c>
      <c r="R168" s="123">
        <v>7879.5000000000009</v>
      </c>
      <c r="S168" s="123">
        <v>0</v>
      </c>
      <c r="T168" s="123">
        <v>6699</v>
      </c>
      <c r="U168" s="123">
        <v>233453.5</v>
      </c>
      <c r="V168" s="123">
        <v>233453.5</v>
      </c>
      <c r="X168" s="123" t="s">
        <v>325</v>
      </c>
    </row>
    <row r="169" spans="1:32" x14ac:dyDescent="0.3">
      <c r="A169" s="127" t="s">
        <v>337</v>
      </c>
      <c r="B169" s="128">
        <v>45587</v>
      </c>
      <c r="C169" s="127" t="s">
        <v>26</v>
      </c>
      <c r="D169" s="127" t="s">
        <v>58</v>
      </c>
      <c r="E169" s="127" t="s">
        <v>67</v>
      </c>
      <c r="F169" s="127" t="s">
        <v>671</v>
      </c>
      <c r="G169" t="s">
        <v>672</v>
      </c>
      <c r="H169">
        <v>30714856274</v>
      </c>
      <c r="I169" t="s">
        <v>142</v>
      </c>
      <c r="J169" s="127" t="s">
        <v>381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86286.7</v>
      </c>
      <c r="Q169" s="123">
        <v>0</v>
      </c>
      <c r="R169" s="123">
        <v>0</v>
      </c>
      <c r="S169" s="123">
        <v>0</v>
      </c>
      <c r="T169" s="123">
        <v>0</v>
      </c>
      <c r="U169" s="123">
        <v>86286.7</v>
      </c>
      <c r="V169" s="123">
        <v>86286.7</v>
      </c>
      <c r="X169" s="123" t="s">
        <v>325</v>
      </c>
    </row>
    <row r="170" spans="1:32" x14ac:dyDescent="0.3">
      <c r="A170" s="127" t="s">
        <v>337</v>
      </c>
      <c r="B170" s="128">
        <v>45588</v>
      </c>
      <c r="C170" s="127" t="s">
        <v>26</v>
      </c>
      <c r="D170" s="127" t="s">
        <v>58</v>
      </c>
      <c r="E170" s="127" t="s">
        <v>399</v>
      </c>
      <c r="F170" s="127" t="s">
        <v>682</v>
      </c>
      <c r="G170" t="s">
        <v>61</v>
      </c>
      <c r="H170">
        <v>30716375184</v>
      </c>
      <c r="I170" t="s">
        <v>62</v>
      </c>
      <c r="J170" s="127" t="s">
        <v>381</v>
      </c>
      <c r="K170" s="123">
        <v>16561.93</v>
      </c>
      <c r="L170" s="123">
        <v>3478.0052999999998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3478.0052999999998</v>
      </c>
      <c r="U170" s="123">
        <v>20039.935300000001</v>
      </c>
      <c r="V170" s="123">
        <v>20039.935300000001</v>
      </c>
      <c r="W170" s="123">
        <v>0</v>
      </c>
      <c r="X170" s="123" t="s">
        <v>324</v>
      </c>
      <c r="Y170" s="122">
        <v>45588</v>
      </c>
      <c r="Z170" s="123">
        <v>0</v>
      </c>
      <c r="AF170" s="123">
        <v>20039.935300000001</v>
      </c>
    </row>
    <row r="171" spans="1:32" x14ac:dyDescent="0.3">
      <c r="A171" s="127" t="s">
        <v>337</v>
      </c>
      <c r="B171" s="128">
        <v>45588</v>
      </c>
      <c r="C171" s="127" t="s">
        <v>26</v>
      </c>
      <c r="D171" s="127" t="s">
        <v>58</v>
      </c>
      <c r="E171" s="127" t="s">
        <v>107</v>
      </c>
      <c r="F171" s="127" t="s">
        <v>143</v>
      </c>
      <c r="G171" t="s">
        <v>192</v>
      </c>
      <c r="H171">
        <v>27057859755</v>
      </c>
      <c r="I171" t="s">
        <v>595</v>
      </c>
      <c r="J171" s="127" t="s">
        <v>381</v>
      </c>
      <c r="K171" s="123">
        <v>2704000</v>
      </c>
      <c r="L171" s="123">
        <v>567840</v>
      </c>
      <c r="M171" s="123">
        <v>0</v>
      </c>
      <c r="N171" s="123">
        <v>0</v>
      </c>
      <c r="O171" s="123">
        <v>0</v>
      </c>
      <c r="P171" s="123">
        <v>0</v>
      </c>
      <c r="Q171" s="123">
        <v>0</v>
      </c>
      <c r="R171" s="123">
        <v>0</v>
      </c>
      <c r="S171" s="123">
        <v>0</v>
      </c>
      <c r="T171" s="123">
        <v>567840</v>
      </c>
      <c r="U171" s="123">
        <v>3271840</v>
      </c>
      <c r="V171" s="123">
        <v>3271840</v>
      </c>
      <c r="W171" s="123">
        <v>0</v>
      </c>
      <c r="X171" s="123" t="s">
        <v>324</v>
      </c>
      <c r="Y171" s="122">
        <v>45583</v>
      </c>
      <c r="Z171" s="123">
        <v>3271840</v>
      </c>
      <c r="AF171" s="123">
        <v>0</v>
      </c>
    </row>
    <row r="172" spans="1:32" x14ac:dyDescent="0.3">
      <c r="A172" s="127" t="s">
        <v>337</v>
      </c>
      <c r="B172" s="128">
        <v>45588</v>
      </c>
      <c r="C172" s="127" t="s">
        <v>402</v>
      </c>
      <c r="D172" s="127" t="s">
        <v>403</v>
      </c>
      <c r="E172" s="127" t="s">
        <v>28</v>
      </c>
      <c r="F172" s="127" t="s">
        <v>687</v>
      </c>
      <c r="G172" t="s">
        <v>406</v>
      </c>
      <c r="H172">
        <v>30111111111</v>
      </c>
      <c r="I172" t="s">
        <v>279</v>
      </c>
      <c r="J172" s="127" t="s">
        <v>381</v>
      </c>
      <c r="K172" s="123">
        <v>36919</v>
      </c>
      <c r="L172" s="123">
        <v>0</v>
      </c>
      <c r="M172" s="123">
        <v>0</v>
      </c>
      <c r="N172" s="123">
        <v>0</v>
      </c>
      <c r="O172" s="123">
        <v>0</v>
      </c>
      <c r="P172" s="123">
        <v>0</v>
      </c>
      <c r="Q172" s="123">
        <v>0</v>
      </c>
      <c r="R172" s="123">
        <v>0</v>
      </c>
      <c r="S172" s="123">
        <v>0</v>
      </c>
      <c r="T172" s="123">
        <v>0</v>
      </c>
      <c r="U172" s="123">
        <v>36919</v>
      </c>
      <c r="V172" s="123">
        <v>36919</v>
      </c>
      <c r="W172" s="123">
        <v>0</v>
      </c>
      <c r="X172" s="123" t="s">
        <v>324</v>
      </c>
      <c r="Y172" s="122">
        <v>45588</v>
      </c>
      <c r="Z172" s="123">
        <v>0</v>
      </c>
      <c r="AF172" s="123">
        <v>36919</v>
      </c>
    </row>
    <row r="173" spans="1:32" x14ac:dyDescent="0.3">
      <c r="A173" s="127" t="s">
        <v>337</v>
      </c>
      <c r="B173" s="128">
        <v>45588</v>
      </c>
      <c r="C173" s="127" t="s">
        <v>434</v>
      </c>
      <c r="D173" s="127" t="s">
        <v>403</v>
      </c>
      <c r="E173" s="127" t="s">
        <v>688</v>
      </c>
      <c r="F173" s="127" t="s">
        <v>687</v>
      </c>
      <c r="G173" t="s">
        <v>406</v>
      </c>
      <c r="H173">
        <v>30111111111</v>
      </c>
      <c r="I173" t="s">
        <v>405</v>
      </c>
      <c r="J173" s="127" t="s">
        <v>381</v>
      </c>
      <c r="K173" s="123">
        <v>6060</v>
      </c>
      <c r="L173" s="123">
        <v>0</v>
      </c>
      <c r="M173" s="123">
        <v>0</v>
      </c>
      <c r="N173" s="123">
        <v>0</v>
      </c>
      <c r="O173" s="123">
        <v>0</v>
      </c>
      <c r="P173" s="123">
        <v>0</v>
      </c>
      <c r="Q173" s="123">
        <v>0</v>
      </c>
      <c r="R173" s="123">
        <v>0</v>
      </c>
      <c r="S173" s="123">
        <v>0</v>
      </c>
      <c r="T173" s="123">
        <v>0</v>
      </c>
      <c r="U173" s="123">
        <v>6060</v>
      </c>
      <c r="V173" s="123">
        <v>6060</v>
      </c>
      <c r="W173" s="123">
        <v>0</v>
      </c>
      <c r="X173" s="123" t="s">
        <v>324</v>
      </c>
      <c r="Y173" s="122">
        <v>45588</v>
      </c>
      <c r="Z173" s="123">
        <v>0</v>
      </c>
      <c r="AF173" s="123">
        <v>6060</v>
      </c>
    </row>
    <row r="174" spans="1:32" x14ac:dyDescent="0.3">
      <c r="A174" s="127" t="s">
        <v>337</v>
      </c>
      <c r="B174" s="128">
        <v>45588</v>
      </c>
      <c r="C174" s="127" t="s">
        <v>26</v>
      </c>
      <c r="D174" s="127" t="s">
        <v>27</v>
      </c>
      <c r="E174" s="127" t="s">
        <v>28</v>
      </c>
      <c r="F174" s="127" t="s">
        <v>143</v>
      </c>
      <c r="G174" t="s">
        <v>284</v>
      </c>
      <c r="H174">
        <v>27339701712</v>
      </c>
      <c r="I174" t="s">
        <v>615</v>
      </c>
      <c r="J174" s="127" t="s">
        <v>381</v>
      </c>
      <c r="K174" s="123">
        <v>1600000</v>
      </c>
      <c r="L174" s="123">
        <v>0</v>
      </c>
      <c r="M174" s="123">
        <v>0</v>
      </c>
      <c r="N174" s="123">
        <v>0</v>
      </c>
      <c r="O174" s="123">
        <v>0</v>
      </c>
      <c r="P174" s="123">
        <v>0</v>
      </c>
      <c r="Q174" s="123">
        <v>0</v>
      </c>
      <c r="R174" s="123">
        <v>0</v>
      </c>
      <c r="S174" s="123">
        <v>0</v>
      </c>
      <c r="T174" s="123">
        <v>0</v>
      </c>
      <c r="U174" s="123">
        <v>1600000</v>
      </c>
      <c r="V174" s="123">
        <v>1600000</v>
      </c>
      <c r="W174" s="123">
        <v>0</v>
      </c>
      <c r="X174" s="123" t="s">
        <v>324</v>
      </c>
      <c r="Y174" s="122">
        <v>45583</v>
      </c>
      <c r="Z174" s="123">
        <v>1600000</v>
      </c>
      <c r="AF174" s="123">
        <v>0</v>
      </c>
    </row>
    <row r="175" spans="1:32" x14ac:dyDescent="0.3">
      <c r="A175" s="127" t="s">
        <v>337</v>
      </c>
      <c r="B175" s="128">
        <v>45588</v>
      </c>
      <c r="C175" s="127" t="s">
        <v>26</v>
      </c>
      <c r="D175" s="127" t="s">
        <v>58</v>
      </c>
      <c r="E175" s="127" t="s">
        <v>767</v>
      </c>
      <c r="F175" s="127" t="s">
        <v>739</v>
      </c>
      <c r="G175" t="s">
        <v>95</v>
      </c>
      <c r="H175">
        <v>30583516790</v>
      </c>
      <c r="I175" t="s">
        <v>96</v>
      </c>
      <c r="J175" s="127" t="s">
        <v>381</v>
      </c>
      <c r="K175" s="123">
        <v>3430.85</v>
      </c>
      <c r="L175" s="123">
        <v>720.47849999999994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720.47849999999994</v>
      </c>
      <c r="U175" s="123">
        <v>4151.3284999999996</v>
      </c>
      <c r="V175" s="123">
        <v>4151.3284999999996</v>
      </c>
      <c r="W175" s="123">
        <v>0</v>
      </c>
      <c r="X175" s="123" t="s">
        <v>324</v>
      </c>
      <c r="Y175" s="122">
        <v>45588</v>
      </c>
      <c r="Z175" s="123">
        <v>0</v>
      </c>
      <c r="AF175" s="123">
        <v>4151.3284999999996</v>
      </c>
    </row>
    <row r="176" spans="1:32" x14ac:dyDescent="0.3">
      <c r="A176" s="127" t="s">
        <v>337</v>
      </c>
      <c r="B176" s="128">
        <v>45588</v>
      </c>
      <c r="C176" s="127" t="s">
        <v>26</v>
      </c>
      <c r="D176" s="127" t="s">
        <v>27</v>
      </c>
      <c r="E176" s="127" t="s">
        <v>32</v>
      </c>
      <c r="F176" s="127" t="s">
        <v>50</v>
      </c>
      <c r="G176" t="s">
        <v>552</v>
      </c>
      <c r="H176">
        <v>20306364945</v>
      </c>
      <c r="I176" t="s">
        <v>812</v>
      </c>
      <c r="J176" s="127" t="s">
        <v>381</v>
      </c>
      <c r="K176" s="123">
        <v>6592000</v>
      </c>
      <c r="L176" s="123">
        <v>0</v>
      </c>
      <c r="M176" s="123">
        <v>0</v>
      </c>
      <c r="N176" s="123">
        <v>0</v>
      </c>
      <c r="O176" s="123">
        <v>0</v>
      </c>
      <c r="P176" s="123">
        <v>0</v>
      </c>
      <c r="Q176" s="123">
        <v>0</v>
      </c>
      <c r="R176" s="123">
        <v>0</v>
      </c>
      <c r="S176" s="123">
        <v>0</v>
      </c>
      <c r="T176" s="123">
        <v>0</v>
      </c>
      <c r="U176" s="123">
        <v>6592000</v>
      </c>
      <c r="V176" s="123">
        <v>6592000</v>
      </c>
      <c r="W176" s="123">
        <v>0</v>
      </c>
      <c r="X176" s="123" t="s">
        <v>325</v>
      </c>
    </row>
    <row r="177" spans="1:32" x14ac:dyDescent="0.3">
      <c r="A177" s="127" t="s">
        <v>337</v>
      </c>
      <c r="B177" s="128">
        <v>45588</v>
      </c>
      <c r="C177" s="127" t="s">
        <v>26</v>
      </c>
      <c r="D177" s="127" t="s">
        <v>58</v>
      </c>
      <c r="E177" s="127" t="s">
        <v>28</v>
      </c>
      <c r="F177" s="127" t="s">
        <v>612</v>
      </c>
      <c r="G177" t="s">
        <v>613</v>
      </c>
      <c r="H177">
        <v>30716877384</v>
      </c>
      <c r="I177" t="s">
        <v>614</v>
      </c>
      <c r="J177" s="127" t="s">
        <v>381</v>
      </c>
      <c r="K177" s="123">
        <v>1299000</v>
      </c>
      <c r="L177" s="123">
        <v>272790</v>
      </c>
      <c r="M177" s="123">
        <v>0</v>
      </c>
      <c r="N177" s="123">
        <v>0</v>
      </c>
      <c r="O177" s="123">
        <v>0</v>
      </c>
      <c r="P177" s="123">
        <v>0</v>
      </c>
      <c r="Q177" s="123">
        <v>0</v>
      </c>
      <c r="R177" s="123">
        <v>0</v>
      </c>
      <c r="S177" s="123">
        <v>0</v>
      </c>
      <c r="T177" s="123">
        <v>272790</v>
      </c>
      <c r="U177" s="123">
        <v>1571790</v>
      </c>
      <c r="V177" s="123">
        <v>1571790</v>
      </c>
      <c r="W177" s="123">
        <v>0</v>
      </c>
      <c r="X177" s="123" t="s">
        <v>324</v>
      </c>
      <c r="Y177" s="122">
        <v>45588</v>
      </c>
      <c r="Z177" s="123">
        <v>1571790</v>
      </c>
      <c r="AF177" s="123">
        <v>0</v>
      </c>
    </row>
    <row r="178" spans="1:32" x14ac:dyDescent="0.3">
      <c r="A178" s="127" t="s">
        <v>337</v>
      </c>
      <c r="B178" s="128">
        <v>45589</v>
      </c>
      <c r="C178" s="127" t="s">
        <v>26</v>
      </c>
      <c r="D178" s="127" t="s">
        <v>58</v>
      </c>
      <c r="E178" s="127" t="s">
        <v>679</v>
      </c>
      <c r="F178" s="127" t="s">
        <v>680</v>
      </c>
      <c r="G178" t="s">
        <v>681</v>
      </c>
      <c r="H178">
        <v>30711230862</v>
      </c>
      <c r="I178" t="s">
        <v>62</v>
      </c>
      <c r="J178" s="127" t="s">
        <v>381</v>
      </c>
      <c r="K178" s="123">
        <v>19005.2</v>
      </c>
      <c r="L178" s="123">
        <v>3991.0920000000001</v>
      </c>
      <c r="M178" s="123">
        <v>0</v>
      </c>
      <c r="N178" s="123">
        <v>0</v>
      </c>
      <c r="O178" s="123">
        <v>0</v>
      </c>
      <c r="P178" s="123">
        <v>0</v>
      </c>
      <c r="Q178" s="123">
        <v>0</v>
      </c>
      <c r="R178" s="123">
        <v>684.18720000000008</v>
      </c>
      <c r="S178" s="123">
        <v>0</v>
      </c>
      <c r="T178" s="123">
        <v>3991.0920000000001</v>
      </c>
      <c r="U178" s="123">
        <v>23680.479200000002</v>
      </c>
      <c r="V178" s="123">
        <v>23680.479200000002</v>
      </c>
      <c r="W178" s="123">
        <v>0</v>
      </c>
      <c r="X178" s="123" t="s">
        <v>324</v>
      </c>
      <c r="Y178" s="122">
        <v>45589</v>
      </c>
      <c r="Z178" s="123">
        <v>0</v>
      </c>
      <c r="AF178" s="123">
        <v>23680.479200000002</v>
      </c>
    </row>
    <row r="179" spans="1:32" x14ac:dyDescent="0.3">
      <c r="A179" s="127" t="s">
        <v>337</v>
      </c>
      <c r="B179" s="128">
        <v>45589</v>
      </c>
      <c r="C179" s="127" t="s">
        <v>26</v>
      </c>
      <c r="D179" s="127" t="s">
        <v>58</v>
      </c>
      <c r="E179" s="127" t="s">
        <v>107</v>
      </c>
      <c r="F179" s="127" t="s">
        <v>622</v>
      </c>
      <c r="G179" t="s">
        <v>623</v>
      </c>
      <c r="H179">
        <v>30711918538</v>
      </c>
      <c r="I179" t="s">
        <v>624</v>
      </c>
      <c r="J179" s="127" t="s">
        <v>381</v>
      </c>
      <c r="K179" s="123">
        <v>115220.52</v>
      </c>
      <c r="L179" s="123">
        <v>24196.3092</v>
      </c>
      <c r="M179" s="123">
        <v>0</v>
      </c>
      <c r="N179" s="123">
        <v>0</v>
      </c>
      <c r="O179" s="123">
        <v>0</v>
      </c>
      <c r="P179" s="123">
        <v>0</v>
      </c>
      <c r="Q179" s="123">
        <v>0</v>
      </c>
      <c r="R179" s="123">
        <v>0</v>
      </c>
      <c r="S179" s="123">
        <v>0</v>
      </c>
      <c r="T179" s="123">
        <v>24196.3092</v>
      </c>
      <c r="U179" s="123">
        <v>139416.82920000001</v>
      </c>
      <c r="V179" s="123">
        <v>139416.82920000001</v>
      </c>
      <c r="W179" s="123">
        <v>0</v>
      </c>
      <c r="X179" s="123" t="s">
        <v>325</v>
      </c>
    </row>
    <row r="180" spans="1:32" x14ac:dyDescent="0.3">
      <c r="A180" s="127" t="s">
        <v>337</v>
      </c>
      <c r="B180" s="128">
        <v>45589</v>
      </c>
      <c r="C180" s="127" t="s">
        <v>26</v>
      </c>
      <c r="D180" s="127" t="s">
        <v>58</v>
      </c>
      <c r="E180" s="127" t="s">
        <v>64</v>
      </c>
      <c r="F180" s="127" t="s">
        <v>678</v>
      </c>
      <c r="G180" t="s">
        <v>66</v>
      </c>
      <c r="H180">
        <v>30673770483</v>
      </c>
      <c r="I180" t="s">
        <v>62</v>
      </c>
      <c r="J180" s="127" t="s">
        <v>381</v>
      </c>
      <c r="K180" s="123">
        <v>57243.06</v>
      </c>
      <c r="L180" s="123">
        <v>12021.042599999999</v>
      </c>
      <c r="M180" s="123">
        <v>0</v>
      </c>
      <c r="N180" s="123">
        <v>0</v>
      </c>
      <c r="O180" s="123">
        <v>0</v>
      </c>
      <c r="P180" s="123">
        <v>0</v>
      </c>
      <c r="Q180" s="123">
        <v>0</v>
      </c>
      <c r="R180" s="123">
        <v>2060.7501600000001</v>
      </c>
      <c r="S180" s="123">
        <v>0</v>
      </c>
      <c r="T180" s="123">
        <v>12021.042599999999</v>
      </c>
      <c r="U180" s="123">
        <v>71324.852759999994</v>
      </c>
      <c r="V180" s="123">
        <v>71324.852759999994</v>
      </c>
      <c r="W180" s="123">
        <v>0</v>
      </c>
      <c r="X180" s="123" t="s">
        <v>324</v>
      </c>
      <c r="Y180" s="122">
        <v>45589</v>
      </c>
      <c r="Z180" s="123">
        <v>0</v>
      </c>
      <c r="AF180" s="123">
        <v>71324.852759999994</v>
      </c>
    </row>
    <row r="181" spans="1:32" x14ac:dyDescent="0.3">
      <c r="A181" s="127" t="s">
        <v>337</v>
      </c>
      <c r="B181" s="128">
        <v>45589</v>
      </c>
      <c r="C181" s="127" t="s">
        <v>26</v>
      </c>
      <c r="D181" s="127" t="s">
        <v>58</v>
      </c>
      <c r="E181" s="131" t="s">
        <v>211</v>
      </c>
      <c r="F181" s="131" t="s">
        <v>191</v>
      </c>
      <c r="G181" t="s">
        <v>146</v>
      </c>
      <c r="H181">
        <v>33716385359</v>
      </c>
      <c r="I181" t="s">
        <v>142</v>
      </c>
      <c r="J181" s="127" t="s">
        <v>381</v>
      </c>
      <c r="K181" s="123">
        <v>0</v>
      </c>
      <c r="L181" s="123">
        <v>0</v>
      </c>
      <c r="M181" s="123">
        <v>0</v>
      </c>
      <c r="N181" s="123">
        <v>0</v>
      </c>
      <c r="O181" s="123">
        <v>0</v>
      </c>
      <c r="P181" s="123">
        <v>192000</v>
      </c>
      <c r="Q181" s="123">
        <v>0</v>
      </c>
      <c r="R181" s="123">
        <v>0</v>
      </c>
      <c r="S181" s="123">
        <v>0</v>
      </c>
      <c r="T181" s="123">
        <v>0</v>
      </c>
      <c r="U181" s="123">
        <v>192000</v>
      </c>
      <c r="V181" s="123">
        <v>192000</v>
      </c>
      <c r="X181" s="123" t="s">
        <v>325</v>
      </c>
    </row>
    <row r="182" spans="1:32" x14ac:dyDescent="0.3">
      <c r="A182" s="127" t="s">
        <v>337</v>
      </c>
      <c r="B182" s="128">
        <v>45589</v>
      </c>
      <c r="C182" s="127" t="s">
        <v>434</v>
      </c>
      <c r="D182" s="127" t="s">
        <v>403</v>
      </c>
      <c r="E182" s="127" t="s">
        <v>28</v>
      </c>
      <c r="F182" s="127" t="s">
        <v>562</v>
      </c>
      <c r="G182" t="s">
        <v>406</v>
      </c>
      <c r="H182">
        <v>30111111111</v>
      </c>
      <c r="I182" t="s">
        <v>405</v>
      </c>
      <c r="J182" s="127" t="s">
        <v>381</v>
      </c>
      <c r="K182" s="123">
        <v>5000</v>
      </c>
      <c r="L182" s="123">
        <v>0</v>
      </c>
      <c r="M182" s="123">
        <v>0</v>
      </c>
      <c r="N182" s="123">
        <v>0</v>
      </c>
      <c r="O182" s="123">
        <v>0</v>
      </c>
      <c r="P182" s="123">
        <v>0</v>
      </c>
      <c r="Q182" s="123">
        <v>0</v>
      </c>
      <c r="R182" s="123">
        <v>0</v>
      </c>
      <c r="S182" s="123">
        <v>0</v>
      </c>
      <c r="T182" s="123">
        <v>0</v>
      </c>
      <c r="U182" s="123">
        <v>5000</v>
      </c>
      <c r="V182" s="123">
        <v>5000</v>
      </c>
      <c r="W182" s="123">
        <v>0</v>
      </c>
      <c r="X182" s="123" t="s">
        <v>324</v>
      </c>
      <c r="Y182" s="122">
        <v>45589</v>
      </c>
      <c r="Z182" s="123">
        <v>0</v>
      </c>
      <c r="AF182" s="123">
        <v>5000</v>
      </c>
    </row>
    <row r="183" spans="1:32" x14ac:dyDescent="0.3">
      <c r="A183" s="127" t="s">
        <v>337</v>
      </c>
      <c r="B183" s="128">
        <v>45589</v>
      </c>
      <c r="C183" s="127" t="s">
        <v>26</v>
      </c>
      <c r="D183" s="127" t="s">
        <v>58</v>
      </c>
      <c r="E183" s="127" t="s">
        <v>151</v>
      </c>
      <c r="F183" s="127" t="s">
        <v>618</v>
      </c>
      <c r="G183" t="s">
        <v>360</v>
      </c>
      <c r="H183">
        <v>30716939762</v>
      </c>
      <c r="I183" t="s">
        <v>62</v>
      </c>
      <c r="J183" s="127" t="s">
        <v>381</v>
      </c>
      <c r="K183" s="123">
        <v>90072</v>
      </c>
      <c r="L183" s="123">
        <v>18915.12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18915.12</v>
      </c>
      <c r="U183" s="123">
        <v>108987.12</v>
      </c>
      <c r="V183" s="123">
        <v>108987.12</v>
      </c>
      <c r="W183" s="123">
        <v>0</v>
      </c>
      <c r="X183" s="123" t="s">
        <v>325</v>
      </c>
    </row>
    <row r="184" spans="1:32" x14ac:dyDescent="0.3">
      <c r="A184" s="127" t="s">
        <v>337</v>
      </c>
      <c r="B184" s="128">
        <v>45589</v>
      </c>
      <c r="C184" s="127" t="s">
        <v>26</v>
      </c>
      <c r="D184" s="127" t="s">
        <v>58</v>
      </c>
      <c r="E184" s="127" t="s">
        <v>74</v>
      </c>
      <c r="F184" s="127" t="s">
        <v>710</v>
      </c>
      <c r="G184" t="s">
        <v>315</v>
      </c>
      <c r="H184">
        <v>33631274329</v>
      </c>
      <c r="I184" t="s">
        <v>709</v>
      </c>
      <c r="J184" s="127" t="s">
        <v>381</v>
      </c>
      <c r="K184" s="123">
        <v>55475.11</v>
      </c>
      <c r="L184" s="123">
        <v>0</v>
      </c>
      <c r="M184" s="123">
        <v>5824.8865500000002</v>
      </c>
      <c r="N184" s="123">
        <v>0</v>
      </c>
      <c r="O184" s="123">
        <v>0</v>
      </c>
      <c r="P184" s="123">
        <v>0</v>
      </c>
      <c r="Q184" s="123">
        <v>0</v>
      </c>
      <c r="R184" s="123">
        <v>1997.1039600000001</v>
      </c>
      <c r="S184" s="123">
        <v>0</v>
      </c>
      <c r="T184" s="123">
        <v>5824.8865500000002</v>
      </c>
      <c r="U184" s="123">
        <v>63297.100510000004</v>
      </c>
      <c r="V184" s="123">
        <v>63297.100510000004</v>
      </c>
      <c r="X184" s="123" t="s">
        <v>325</v>
      </c>
    </row>
    <row r="185" spans="1:32" x14ac:dyDescent="0.3">
      <c r="A185" s="127" t="s">
        <v>337</v>
      </c>
      <c r="B185" s="128">
        <v>45590</v>
      </c>
      <c r="C185" s="127" t="s">
        <v>26</v>
      </c>
      <c r="D185" s="127" t="s">
        <v>58</v>
      </c>
      <c r="E185" s="127" t="s">
        <v>67</v>
      </c>
      <c r="F185" s="127" t="s">
        <v>649</v>
      </c>
      <c r="G185" t="s">
        <v>650</v>
      </c>
      <c r="H185">
        <v>33709029989</v>
      </c>
      <c r="I185" t="s">
        <v>651</v>
      </c>
      <c r="J185" s="127" t="s">
        <v>381</v>
      </c>
      <c r="K185" s="123">
        <v>2848128</v>
      </c>
      <c r="L185" s="123">
        <v>598106.88</v>
      </c>
      <c r="M185" s="123">
        <v>0</v>
      </c>
      <c r="N185" s="123">
        <v>0</v>
      </c>
      <c r="O185" s="123">
        <v>0</v>
      </c>
      <c r="P185" s="123">
        <v>0</v>
      </c>
      <c r="Q185" s="123">
        <v>0</v>
      </c>
      <c r="R185" s="123">
        <v>0</v>
      </c>
      <c r="S185" s="123">
        <v>0</v>
      </c>
      <c r="T185" s="123">
        <v>598106.88</v>
      </c>
      <c r="U185" s="123">
        <v>3446234.88</v>
      </c>
      <c r="V185" s="123">
        <v>3446234.88</v>
      </c>
      <c r="W185" s="123">
        <v>52482.559999999998</v>
      </c>
      <c r="X185" s="123" t="s">
        <v>324</v>
      </c>
      <c r="Y185" s="122">
        <v>45590</v>
      </c>
      <c r="Z185" s="123">
        <v>3393752.32</v>
      </c>
      <c r="AF185" s="123">
        <v>0</v>
      </c>
    </row>
    <row r="186" spans="1:32" x14ac:dyDescent="0.3">
      <c r="A186" s="127" t="s">
        <v>337</v>
      </c>
      <c r="B186" s="128">
        <v>45590</v>
      </c>
      <c r="C186" s="127" t="s">
        <v>26</v>
      </c>
      <c r="D186" s="127" t="s">
        <v>27</v>
      </c>
      <c r="E186" s="127" t="s">
        <v>28</v>
      </c>
      <c r="F186" s="127" t="s">
        <v>579</v>
      </c>
      <c r="G186" t="s">
        <v>216</v>
      </c>
      <c r="H186">
        <v>27434989693</v>
      </c>
      <c r="I186" t="s">
        <v>620</v>
      </c>
      <c r="J186" s="127" t="s">
        <v>381</v>
      </c>
      <c r="K186" s="123">
        <v>1000000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0</v>
      </c>
      <c r="T186" s="123">
        <v>0</v>
      </c>
      <c r="U186" s="123">
        <v>1000000</v>
      </c>
      <c r="V186" s="123">
        <v>1000000</v>
      </c>
      <c r="W186" s="123">
        <v>0</v>
      </c>
      <c r="X186" s="123" t="s">
        <v>324</v>
      </c>
      <c r="Y186" s="122">
        <v>45589</v>
      </c>
      <c r="Z186" s="123">
        <v>1000000</v>
      </c>
      <c r="AF186" s="123">
        <v>0</v>
      </c>
    </row>
    <row r="187" spans="1:32" x14ac:dyDescent="0.3">
      <c r="A187" s="127" t="s">
        <v>337</v>
      </c>
      <c r="B187" s="128">
        <v>45590</v>
      </c>
      <c r="C187" s="127" t="s">
        <v>26</v>
      </c>
      <c r="D187" s="127" t="s">
        <v>58</v>
      </c>
      <c r="E187" s="127" t="s">
        <v>32</v>
      </c>
      <c r="F187" s="127" t="s">
        <v>707</v>
      </c>
      <c r="G187" t="s">
        <v>352</v>
      </c>
      <c r="H187">
        <v>30709932361</v>
      </c>
      <c r="I187" t="s">
        <v>142</v>
      </c>
      <c r="J187" s="127" t="s">
        <v>381</v>
      </c>
      <c r="K187" s="123">
        <v>133501.56</v>
      </c>
      <c r="L187" s="123">
        <v>28035.327599999997</v>
      </c>
      <c r="M187" s="123">
        <v>0</v>
      </c>
      <c r="N187" s="123">
        <v>0</v>
      </c>
      <c r="O187" s="123">
        <v>0</v>
      </c>
      <c r="P187" s="123">
        <v>118125</v>
      </c>
      <c r="Q187" s="123">
        <v>0</v>
      </c>
      <c r="R187" s="123">
        <v>0</v>
      </c>
      <c r="S187" s="123">
        <v>0</v>
      </c>
      <c r="T187" s="123">
        <v>28035.327599999997</v>
      </c>
      <c r="U187" s="123">
        <v>279661.88760000002</v>
      </c>
      <c r="V187" s="123">
        <v>279661.88760000002</v>
      </c>
      <c r="W187" s="123">
        <v>0</v>
      </c>
      <c r="X187" s="123" t="s">
        <v>325</v>
      </c>
    </row>
    <row r="188" spans="1:32" x14ac:dyDescent="0.3">
      <c r="A188" s="127" t="s">
        <v>337</v>
      </c>
      <c r="B188" s="128">
        <v>45590</v>
      </c>
      <c r="C188" s="127" t="s">
        <v>26</v>
      </c>
      <c r="D188" s="127" t="s">
        <v>58</v>
      </c>
      <c r="E188" s="127" t="s">
        <v>32</v>
      </c>
      <c r="F188" s="127" t="s">
        <v>652</v>
      </c>
      <c r="G188" t="s">
        <v>146</v>
      </c>
      <c r="H188">
        <v>33716385359</v>
      </c>
      <c r="I188" t="s">
        <v>142</v>
      </c>
      <c r="J188" s="127" t="s">
        <v>381</v>
      </c>
      <c r="K188" s="123">
        <v>45000</v>
      </c>
      <c r="L188" s="123">
        <v>9450</v>
      </c>
      <c r="M188" s="123">
        <v>0</v>
      </c>
      <c r="N188" s="123">
        <v>0</v>
      </c>
      <c r="O188" s="123">
        <v>0</v>
      </c>
      <c r="P188" s="123">
        <v>0</v>
      </c>
      <c r="Q188" s="123">
        <v>0</v>
      </c>
      <c r="R188" s="123">
        <v>1620.0000000000002</v>
      </c>
      <c r="S188" s="123">
        <v>0</v>
      </c>
      <c r="T188" s="123">
        <v>9450</v>
      </c>
      <c r="U188" s="123">
        <v>56070</v>
      </c>
      <c r="V188" s="123">
        <v>56070</v>
      </c>
      <c r="X188" s="123" t="s">
        <v>325</v>
      </c>
    </row>
    <row r="189" spans="1:32" x14ac:dyDescent="0.3">
      <c r="A189" s="127" t="s">
        <v>337</v>
      </c>
      <c r="B189" s="128">
        <v>45590</v>
      </c>
      <c r="C189" s="127" t="s">
        <v>26</v>
      </c>
      <c r="D189" s="127" t="s">
        <v>403</v>
      </c>
      <c r="E189" s="127" t="s">
        <v>32</v>
      </c>
      <c r="F189" s="127" t="s">
        <v>743</v>
      </c>
      <c r="G189" t="s">
        <v>406</v>
      </c>
      <c r="H189">
        <v>30111111111</v>
      </c>
      <c r="I189" t="s">
        <v>629</v>
      </c>
      <c r="J189" s="127" t="s">
        <v>381</v>
      </c>
      <c r="K189" s="123">
        <v>4234</v>
      </c>
      <c r="L189" s="123">
        <v>0</v>
      </c>
      <c r="M189" s="123">
        <v>0</v>
      </c>
      <c r="N189" s="123">
        <v>0</v>
      </c>
      <c r="O189" s="123">
        <v>0</v>
      </c>
      <c r="P189" s="123">
        <v>0</v>
      </c>
      <c r="Q189" s="123">
        <v>0</v>
      </c>
      <c r="R189" s="123">
        <v>0</v>
      </c>
      <c r="S189" s="123">
        <v>0</v>
      </c>
      <c r="T189" s="123">
        <v>0</v>
      </c>
      <c r="U189" s="123">
        <v>4234</v>
      </c>
      <c r="V189" s="123">
        <v>4234</v>
      </c>
      <c r="W189" s="123">
        <v>0</v>
      </c>
      <c r="X189" s="123" t="s">
        <v>324</v>
      </c>
      <c r="Y189" s="122">
        <v>45590</v>
      </c>
      <c r="Z189" s="123">
        <v>0</v>
      </c>
      <c r="AF189" s="123">
        <v>4234</v>
      </c>
    </row>
    <row r="190" spans="1:32" x14ac:dyDescent="0.3">
      <c r="A190" s="127" t="s">
        <v>337</v>
      </c>
      <c r="B190" s="128">
        <v>45590</v>
      </c>
      <c r="C190" s="127" t="s">
        <v>434</v>
      </c>
      <c r="D190" s="127" t="s">
        <v>403</v>
      </c>
      <c r="E190" s="127" t="s">
        <v>28</v>
      </c>
      <c r="F190" s="127" t="s">
        <v>743</v>
      </c>
      <c r="G190" t="s">
        <v>406</v>
      </c>
      <c r="H190">
        <v>30111111111</v>
      </c>
      <c r="I190" t="s">
        <v>405</v>
      </c>
      <c r="J190" s="127" t="s">
        <v>381</v>
      </c>
      <c r="K190" s="123">
        <v>13000</v>
      </c>
      <c r="L190" s="123">
        <v>0</v>
      </c>
      <c r="M190" s="123">
        <v>0</v>
      </c>
      <c r="N190" s="123">
        <v>0</v>
      </c>
      <c r="O190" s="123">
        <v>0</v>
      </c>
      <c r="P190" s="123">
        <v>0</v>
      </c>
      <c r="Q190" s="123">
        <v>0</v>
      </c>
      <c r="R190" s="123">
        <v>0</v>
      </c>
      <c r="S190" s="123">
        <v>0</v>
      </c>
      <c r="T190" s="123">
        <v>0</v>
      </c>
      <c r="U190" s="123">
        <v>13000</v>
      </c>
      <c r="V190" s="123">
        <v>13000</v>
      </c>
      <c r="W190" s="123">
        <v>0</v>
      </c>
      <c r="X190" s="123" t="s">
        <v>324</v>
      </c>
      <c r="Y190" s="122">
        <v>45590</v>
      </c>
      <c r="Z190" s="123">
        <v>0</v>
      </c>
      <c r="AF190" s="123">
        <v>13000</v>
      </c>
    </row>
    <row r="191" spans="1:32" x14ac:dyDescent="0.3">
      <c r="A191" s="127" t="s">
        <v>337</v>
      </c>
      <c r="B191" s="128">
        <v>45590</v>
      </c>
      <c r="C191" s="127" t="s">
        <v>434</v>
      </c>
      <c r="D191" s="127" t="s">
        <v>403</v>
      </c>
      <c r="E191" s="127" t="s">
        <v>37</v>
      </c>
      <c r="F191" s="127" t="s">
        <v>743</v>
      </c>
      <c r="G191" t="s">
        <v>406</v>
      </c>
      <c r="H191">
        <v>30111111111</v>
      </c>
      <c r="I191" t="s">
        <v>405</v>
      </c>
      <c r="J191" s="127" t="s">
        <v>381</v>
      </c>
      <c r="K191" s="123">
        <v>3500</v>
      </c>
      <c r="L191" s="123">
        <v>0</v>
      </c>
      <c r="M191" s="123">
        <v>0</v>
      </c>
      <c r="N191" s="123">
        <v>0</v>
      </c>
      <c r="O191" s="123">
        <v>0</v>
      </c>
      <c r="P191" s="123">
        <v>0</v>
      </c>
      <c r="Q191" s="123">
        <v>0</v>
      </c>
      <c r="R191" s="123">
        <v>0</v>
      </c>
      <c r="S191" s="123">
        <v>0</v>
      </c>
      <c r="T191" s="123">
        <v>0</v>
      </c>
      <c r="U191" s="123">
        <v>3500</v>
      </c>
      <c r="V191" s="123">
        <v>3500</v>
      </c>
      <c r="W191" s="123">
        <v>0</v>
      </c>
      <c r="X191" s="123" t="s">
        <v>324</v>
      </c>
      <c r="Y191" s="122">
        <v>45590</v>
      </c>
      <c r="Z191" s="123">
        <v>0</v>
      </c>
      <c r="AF191" s="123">
        <v>3500</v>
      </c>
    </row>
    <row r="192" spans="1:32" x14ac:dyDescent="0.3">
      <c r="A192" s="127" t="s">
        <v>337</v>
      </c>
      <c r="B192" s="128">
        <v>45590</v>
      </c>
      <c r="C192" s="127" t="s">
        <v>26</v>
      </c>
      <c r="D192" s="127" t="s">
        <v>58</v>
      </c>
      <c r="E192" s="127" t="s">
        <v>74</v>
      </c>
      <c r="F192" s="127" t="s">
        <v>708</v>
      </c>
      <c r="G192" t="s">
        <v>363</v>
      </c>
      <c r="H192">
        <v>30716688735</v>
      </c>
      <c r="I192" t="s">
        <v>142</v>
      </c>
      <c r="J192" s="127" t="s">
        <v>381</v>
      </c>
      <c r="K192" s="123">
        <v>158773.22</v>
      </c>
      <c r="L192" s="123">
        <v>33342.376199999999</v>
      </c>
      <c r="M192" s="123">
        <v>0</v>
      </c>
      <c r="N192" s="123">
        <v>0</v>
      </c>
      <c r="O192" s="123">
        <v>0</v>
      </c>
      <c r="P192" s="123">
        <v>183760</v>
      </c>
      <c r="Q192" s="123">
        <v>0</v>
      </c>
      <c r="R192" s="123">
        <v>0</v>
      </c>
      <c r="S192" s="123">
        <v>0</v>
      </c>
      <c r="T192" s="123">
        <v>33342.376199999999</v>
      </c>
      <c r="U192" s="123">
        <v>375875.59620000003</v>
      </c>
      <c r="V192" s="123">
        <v>375875.59620000003</v>
      </c>
      <c r="X192" s="123" t="s">
        <v>325</v>
      </c>
    </row>
    <row r="193" spans="1:32" x14ac:dyDescent="0.3">
      <c r="A193" s="127" t="s">
        <v>337</v>
      </c>
      <c r="B193" s="128">
        <v>45590</v>
      </c>
      <c r="C193" s="127" t="s">
        <v>26</v>
      </c>
      <c r="D193" s="127" t="s">
        <v>58</v>
      </c>
      <c r="E193" s="127" t="s">
        <v>699</v>
      </c>
      <c r="F193" s="127" t="s">
        <v>700</v>
      </c>
      <c r="G193" t="s">
        <v>701</v>
      </c>
      <c r="H193">
        <v>33711043069</v>
      </c>
      <c r="I193" t="s">
        <v>297</v>
      </c>
      <c r="J193" s="127" t="s">
        <v>381</v>
      </c>
      <c r="K193" s="123">
        <v>32471.01</v>
      </c>
      <c r="L193" s="123">
        <v>6818.9120999999996</v>
      </c>
      <c r="M193" s="123">
        <v>0</v>
      </c>
      <c r="N193" s="123">
        <v>0</v>
      </c>
      <c r="O193" s="123">
        <v>0</v>
      </c>
      <c r="P193" s="123">
        <v>0</v>
      </c>
      <c r="Q193" s="123">
        <v>0</v>
      </c>
      <c r="R193" s="123">
        <v>0</v>
      </c>
      <c r="S193" s="123">
        <v>0</v>
      </c>
      <c r="T193" s="123">
        <v>6818.9120999999996</v>
      </c>
      <c r="U193" s="123">
        <v>39289.922099999996</v>
      </c>
      <c r="V193" s="123">
        <v>39289.922099999996</v>
      </c>
      <c r="W193" s="123">
        <v>0</v>
      </c>
      <c r="X193" s="123" t="s">
        <v>324</v>
      </c>
      <c r="Y193" s="122">
        <v>45588</v>
      </c>
      <c r="Z193" s="123">
        <v>0</v>
      </c>
      <c r="AF193" s="123">
        <v>39289.922099999996</v>
      </c>
    </row>
    <row r="194" spans="1:32" x14ac:dyDescent="0.3">
      <c r="A194" s="127" t="s">
        <v>337</v>
      </c>
      <c r="B194" s="128">
        <v>45591</v>
      </c>
      <c r="C194" s="127" t="s">
        <v>26</v>
      </c>
      <c r="D194" s="127" t="s">
        <v>58</v>
      </c>
      <c r="E194" s="127" t="s">
        <v>439</v>
      </c>
      <c r="F194" s="127" t="s">
        <v>673</v>
      </c>
      <c r="G194" t="s">
        <v>441</v>
      </c>
      <c r="H194">
        <v>30518408689</v>
      </c>
      <c r="I194" t="s">
        <v>442</v>
      </c>
      <c r="J194" s="127" t="s">
        <v>381</v>
      </c>
      <c r="K194" s="123">
        <v>32550.85</v>
      </c>
      <c r="L194" s="123">
        <v>6835.6784999999991</v>
      </c>
      <c r="M194" s="123">
        <v>0</v>
      </c>
      <c r="N194" s="123">
        <v>0</v>
      </c>
      <c r="O194" s="123">
        <v>0</v>
      </c>
      <c r="P194" s="123">
        <v>0</v>
      </c>
      <c r="Q194" s="123">
        <v>976.52549999999997</v>
      </c>
      <c r="R194" s="123">
        <v>1265.9000000000001</v>
      </c>
      <c r="S194" s="123">
        <v>2753.4399999999996</v>
      </c>
      <c r="T194" s="123">
        <v>6835.6784999999991</v>
      </c>
      <c r="U194" s="123">
        <v>44382.394000000008</v>
      </c>
      <c r="V194" s="123">
        <v>44382.394000000008</v>
      </c>
      <c r="W194" s="123">
        <v>0</v>
      </c>
      <c r="X194" s="123" t="s">
        <v>324</v>
      </c>
    </row>
    <row r="195" spans="1:32" x14ac:dyDescent="0.3">
      <c r="A195" s="127" t="s">
        <v>337</v>
      </c>
      <c r="B195" s="128">
        <v>45593</v>
      </c>
      <c r="C195" s="127" t="s">
        <v>26</v>
      </c>
      <c r="D195" s="127" t="s">
        <v>58</v>
      </c>
      <c r="E195" s="127" t="s">
        <v>74</v>
      </c>
      <c r="F195" s="127" t="s">
        <v>694</v>
      </c>
      <c r="G195" t="s">
        <v>601</v>
      </c>
      <c r="H195">
        <v>30592615661</v>
      </c>
      <c r="I195" t="s">
        <v>695</v>
      </c>
      <c r="J195" s="127" t="s">
        <v>381</v>
      </c>
      <c r="K195" s="123">
        <v>124395.91</v>
      </c>
      <c r="L195" s="123">
        <v>26123.141100000001</v>
      </c>
      <c r="M195" s="123">
        <v>0</v>
      </c>
      <c r="N195" s="123">
        <v>0</v>
      </c>
      <c r="O195" s="123">
        <v>0</v>
      </c>
      <c r="P195" s="123">
        <v>0</v>
      </c>
      <c r="Q195" s="123">
        <v>0</v>
      </c>
      <c r="R195" s="123">
        <v>0</v>
      </c>
      <c r="S195" s="123">
        <v>2239.1263800000002</v>
      </c>
      <c r="T195" s="123">
        <v>26123.141100000001</v>
      </c>
      <c r="U195" s="123">
        <v>152758.17748000001</v>
      </c>
      <c r="V195" s="123">
        <v>152758.17748000001</v>
      </c>
      <c r="W195" s="123">
        <v>0</v>
      </c>
      <c r="X195" s="123" t="s">
        <v>325</v>
      </c>
    </row>
    <row r="196" spans="1:32" x14ac:dyDescent="0.3">
      <c r="A196" s="127" t="s">
        <v>337</v>
      </c>
      <c r="B196" s="128">
        <v>45593</v>
      </c>
      <c r="C196" s="127" t="s">
        <v>26</v>
      </c>
      <c r="D196" s="127" t="s">
        <v>58</v>
      </c>
      <c r="E196" s="127" t="s">
        <v>390</v>
      </c>
      <c r="F196" s="127" t="s">
        <v>696</v>
      </c>
      <c r="G196" t="s">
        <v>392</v>
      </c>
      <c r="H196">
        <v>30557717400</v>
      </c>
      <c r="I196" t="s">
        <v>698</v>
      </c>
      <c r="J196" s="127" t="s">
        <v>381</v>
      </c>
      <c r="K196" s="123">
        <v>98400.19</v>
      </c>
      <c r="L196" s="123">
        <v>20664.0399</v>
      </c>
      <c r="M196" s="123">
        <v>0</v>
      </c>
      <c r="N196" s="123">
        <v>0</v>
      </c>
      <c r="O196" s="123">
        <v>0</v>
      </c>
      <c r="P196" s="123">
        <v>0</v>
      </c>
      <c r="Q196" s="123">
        <v>0</v>
      </c>
      <c r="R196" s="123">
        <v>4461.1899999999996</v>
      </c>
      <c r="S196" s="123">
        <v>0</v>
      </c>
      <c r="T196" s="123">
        <v>20664.0399</v>
      </c>
      <c r="U196" s="123">
        <v>123525.41990000001</v>
      </c>
      <c r="V196" s="123">
        <v>123525.41990000001</v>
      </c>
      <c r="W196" s="123">
        <v>0</v>
      </c>
      <c r="X196" s="123" t="s">
        <v>324</v>
      </c>
      <c r="Y196" s="122">
        <v>45590</v>
      </c>
      <c r="Z196" s="123">
        <v>123525.41990000001</v>
      </c>
      <c r="AF196" s="123">
        <v>0</v>
      </c>
    </row>
    <row r="197" spans="1:32" x14ac:dyDescent="0.3">
      <c r="A197" s="127" t="s">
        <v>337</v>
      </c>
      <c r="B197" s="128">
        <v>45594</v>
      </c>
      <c r="C197" s="127" t="s">
        <v>26</v>
      </c>
      <c r="D197" s="127" t="s">
        <v>27</v>
      </c>
      <c r="E197" s="127" t="s">
        <v>28</v>
      </c>
      <c r="F197" s="127" t="s">
        <v>432</v>
      </c>
      <c r="G197" t="s">
        <v>366</v>
      </c>
      <c r="H197">
        <v>20283782280</v>
      </c>
      <c r="I197" t="s">
        <v>416</v>
      </c>
      <c r="J197" s="127" t="s">
        <v>381</v>
      </c>
      <c r="K197" s="123">
        <v>295000</v>
      </c>
      <c r="L197" s="123">
        <v>0</v>
      </c>
      <c r="M197" s="123">
        <v>0</v>
      </c>
      <c r="N197" s="123">
        <v>0</v>
      </c>
      <c r="O197" s="123">
        <v>0</v>
      </c>
      <c r="P197" s="123">
        <v>0</v>
      </c>
      <c r="Q197" s="123">
        <v>0</v>
      </c>
      <c r="R197" s="123">
        <v>0</v>
      </c>
      <c r="S197" s="123">
        <v>0</v>
      </c>
      <c r="T197" s="123">
        <v>0</v>
      </c>
      <c r="U197" s="123">
        <v>295000</v>
      </c>
      <c r="V197" s="123">
        <v>295000</v>
      </c>
      <c r="W197" s="123">
        <v>0</v>
      </c>
      <c r="X197" s="123" t="s">
        <v>325</v>
      </c>
    </row>
    <row r="198" spans="1:32" x14ac:dyDescent="0.3">
      <c r="A198" s="127" t="s">
        <v>337</v>
      </c>
      <c r="B198" s="128">
        <v>45594</v>
      </c>
      <c r="C198" s="127" t="s">
        <v>26</v>
      </c>
      <c r="D198" s="127" t="s">
        <v>58</v>
      </c>
      <c r="E198" s="127" t="s">
        <v>37</v>
      </c>
      <c r="F198" s="127" t="s">
        <v>705</v>
      </c>
      <c r="G198" t="s">
        <v>661</v>
      </c>
      <c r="H198">
        <v>20203998091</v>
      </c>
      <c r="I198" t="s">
        <v>142</v>
      </c>
      <c r="J198" s="127" t="s">
        <v>381</v>
      </c>
      <c r="K198" s="123">
        <v>47084.78</v>
      </c>
      <c r="L198" s="123">
        <v>9887.8037999999997</v>
      </c>
      <c r="M198" s="123">
        <v>0</v>
      </c>
      <c r="N198" s="123">
        <v>0</v>
      </c>
      <c r="O198" s="123">
        <v>0</v>
      </c>
      <c r="P198" s="123">
        <v>0</v>
      </c>
      <c r="Q198" s="123">
        <v>0</v>
      </c>
      <c r="R198" s="123">
        <v>0</v>
      </c>
      <c r="T198" s="123">
        <v>9887.8037999999997</v>
      </c>
      <c r="U198" s="123">
        <v>56972.5838</v>
      </c>
      <c r="V198" s="123">
        <v>56972.5838</v>
      </c>
      <c r="X198" s="123" t="s">
        <v>325</v>
      </c>
    </row>
    <row r="199" spans="1:32" x14ac:dyDescent="0.3">
      <c r="A199" s="127" t="s">
        <v>337</v>
      </c>
      <c r="B199" s="128">
        <v>45595</v>
      </c>
      <c r="C199" s="127" t="s">
        <v>26</v>
      </c>
      <c r="D199" s="127" t="s">
        <v>70</v>
      </c>
      <c r="E199" s="127" t="s">
        <v>418</v>
      </c>
      <c r="F199" s="127" t="s">
        <v>784</v>
      </c>
      <c r="G199" t="s">
        <v>785</v>
      </c>
      <c r="H199">
        <v>30715897497</v>
      </c>
      <c r="I199" t="s">
        <v>786</v>
      </c>
      <c r="J199" s="127" t="s">
        <v>381</v>
      </c>
      <c r="K199" s="123">
        <v>15400</v>
      </c>
      <c r="L199" s="123">
        <v>0</v>
      </c>
      <c r="M199" s="123">
        <v>0</v>
      </c>
      <c r="N199" s="123">
        <v>0</v>
      </c>
      <c r="O199" s="123">
        <v>0</v>
      </c>
      <c r="P199" s="123">
        <v>0</v>
      </c>
      <c r="Q199" s="123">
        <v>0</v>
      </c>
      <c r="R199" s="123">
        <v>0</v>
      </c>
      <c r="S199" s="123">
        <v>0</v>
      </c>
      <c r="T199" s="123">
        <v>0</v>
      </c>
      <c r="U199" s="123">
        <v>15400</v>
      </c>
      <c r="V199" s="123">
        <v>15400</v>
      </c>
      <c r="W199" s="123">
        <v>0</v>
      </c>
      <c r="X199" s="123" t="s">
        <v>324</v>
      </c>
      <c r="Y199" s="122">
        <v>45595</v>
      </c>
      <c r="Z199" s="123">
        <v>0</v>
      </c>
      <c r="AF199" s="123">
        <v>15400</v>
      </c>
    </row>
    <row r="200" spans="1:32" x14ac:dyDescent="0.3">
      <c r="A200" s="127" t="s">
        <v>337</v>
      </c>
      <c r="B200" s="128">
        <v>45595</v>
      </c>
      <c r="C200" s="127" t="s">
        <v>26</v>
      </c>
      <c r="D200" s="127" t="s">
        <v>58</v>
      </c>
      <c r="E200" s="127" t="s">
        <v>113</v>
      </c>
      <c r="F200" s="127" t="s">
        <v>765</v>
      </c>
      <c r="G200" t="s">
        <v>690</v>
      </c>
      <c r="H200">
        <v>20304199483</v>
      </c>
      <c r="I200" t="s">
        <v>766</v>
      </c>
      <c r="J200" s="127" t="s">
        <v>381</v>
      </c>
      <c r="K200" s="123">
        <v>5123.97</v>
      </c>
      <c r="L200" s="123">
        <v>1076.0337</v>
      </c>
      <c r="M200" s="123">
        <v>0</v>
      </c>
      <c r="N200" s="123">
        <v>0</v>
      </c>
      <c r="O200" s="123">
        <v>0</v>
      </c>
      <c r="P200" s="123">
        <v>0</v>
      </c>
      <c r="Q200" s="123">
        <v>0</v>
      </c>
      <c r="R200" s="123">
        <v>0</v>
      </c>
      <c r="S200" s="123">
        <v>0</v>
      </c>
      <c r="T200" s="123">
        <v>1076.0337</v>
      </c>
      <c r="U200" s="123">
        <v>6200.0037000000002</v>
      </c>
      <c r="V200" s="123">
        <v>6200.0037000000002</v>
      </c>
      <c r="W200" s="123">
        <v>0</v>
      </c>
      <c r="X200" s="123" t="s">
        <v>324</v>
      </c>
      <c r="Y200" s="122">
        <v>45595</v>
      </c>
      <c r="Z200" s="123">
        <v>0</v>
      </c>
      <c r="AF200" s="123">
        <v>6200.0037000000002</v>
      </c>
    </row>
    <row r="201" spans="1:32" x14ac:dyDescent="0.3">
      <c r="A201" s="127" t="s">
        <v>337</v>
      </c>
      <c r="B201" s="128">
        <v>45595</v>
      </c>
      <c r="C201" s="127" t="s">
        <v>26</v>
      </c>
      <c r="D201" s="127" t="s">
        <v>58</v>
      </c>
      <c r="E201" s="127" t="s">
        <v>32</v>
      </c>
      <c r="F201" s="127" t="s">
        <v>813</v>
      </c>
      <c r="G201" t="s">
        <v>814</v>
      </c>
      <c r="H201">
        <v>30714408956</v>
      </c>
      <c r="I201" t="s">
        <v>815</v>
      </c>
      <c r="J201" s="127" t="s">
        <v>381</v>
      </c>
      <c r="K201" s="123">
        <v>0</v>
      </c>
      <c r="L201" s="123">
        <v>0</v>
      </c>
      <c r="M201" s="123">
        <v>0</v>
      </c>
      <c r="N201" s="123">
        <v>0</v>
      </c>
      <c r="O201" s="123">
        <v>0</v>
      </c>
      <c r="P201" s="123">
        <v>2385500</v>
      </c>
      <c r="Q201" s="123">
        <v>0</v>
      </c>
      <c r="R201" s="123">
        <v>0</v>
      </c>
      <c r="S201" s="123">
        <v>0</v>
      </c>
      <c r="T201" s="123">
        <v>0</v>
      </c>
      <c r="U201" s="123">
        <v>2385500</v>
      </c>
      <c r="V201" s="123">
        <v>2385500</v>
      </c>
      <c r="X201" s="123" t="s">
        <v>325</v>
      </c>
    </row>
    <row r="202" spans="1:32" x14ac:dyDescent="0.3">
      <c r="A202" s="127" t="s">
        <v>337</v>
      </c>
      <c r="B202" s="128">
        <v>45596</v>
      </c>
      <c r="C202" s="127" t="s">
        <v>641</v>
      </c>
      <c r="F202" s="127" t="s">
        <v>777</v>
      </c>
      <c r="G202" t="s">
        <v>465</v>
      </c>
      <c r="I202" t="s">
        <v>778</v>
      </c>
      <c r="J202" s="127" t="s">
        <v>381</v>
      </c>
      <c r="K202" s="123">
        <v>106000</v>
      </c>
      <c r="L202" s="123">
        <v>0</v>
      </c>
      <c r="M202" s="123">
        <v>0</v>
      </c>
      <c r="N202" s="123">
        <v>0</v>
      </c>
      <c r="O202" s="123">
        <v>0</v>
      </c>
      <c r="P202" s="123">
        <v>0</v>
      </c>
      <c r="Q202" s="123">
        <v>0</v>
      </c>
      <c r="R202" s="123">
        <v>0</v>
      </c>
      <c r="S202" s="123">
        <v>0</v>
      </c>
      <c r="T202" s="123">
        <v>0</v>
      </c>
      <c r="U202" s="123">
        <v>106000</v>
      </c>
      <c r="V202" s="123">
        <v>106000</v>
      </c>
      <c r="W202" s="123">
        <v>0</v>
      </c>
      <c r="X202" s="123" t="s">
        <v>324</v>
      </c>
      <c r="Y202" s="122">
        <v>45596</v>
      </c>
      <c r="Z202" s="123">
        <v>0</v>
      </c>
      <c r="AF202" s="123">
        <v>106000</v>
      </c>
    </row>
    <row r="203" spans="1:32" x14ac:dyDescent="0.3">
      <c r="A203" s="127" t="s">
        <v>337</v>
      </c>
      <c r="B203" s="128">
        <v>45596</v>
      </c>
      <c r="C203" s="127" t="s">
        <v>26</v>
      </c>
      <c r="D203" s="127" t="s">
        <v>58</v>
      </c>
      <c r="E203" s="127" t="s">
        <v>113</v>
      </c>
      <c r="F203" s="127" t="s">
        <v>765</v>
      </c>
      <c r="G203" t="s">
        <v>690</v>
      </c>
      <c r="H203">
        <v>20304199483</v>
      </c>
      <c r="I203" t="s">
        <v>776</v>
      </c>
      <c r="J203" s="127" t="s">
        <v>381</v>
      </c>
      <c r="K203" s="123">
        <v>25393.58</v>
      </c>
      <c r="L203" s="123">
        <v>3280.1642999999999</v>
      </c>
      <c r="M203" s="123">
        <v>1026.2437499999999</v>
      </c>
      <c r="N203" s="123">
        <v>0</v>
      </c>
      <c r="O203" s="123">
        <v>0</v>
      </c>
      <c r="P203" s="123">
        <v>0</v>
      </c>
      <c r="Q203" s="123">
        <v>0</v>
      </c>
      <c r="R203" s="123">
        <v>0</v>
      </c>
      <c r="S203" s="123">
        <v>0.01</v>
      </c>
      <c r="T203" s="123">
        <v>4306.40805</v>
      </c>
      <c r="U203" s="123">
        <v>29699.998050000002</v>
      </c>
      <c r="V203" s="123">
        <v>29699.998050000002</v>
      </c>
      <c r="W203" s="123">
        <v>0</v>
      </c>
      <c r="X203" s="123" t="s">
        <v>324</v>
      </c>
      <c r="Y203" s="122">
        <v>45596</v>
      </c>
      <c r="Z203" s="123">
        <v>0</v>
      </c>
      <c r="AF203" s="123">
        <v>29699.998050000002</v>
      </c>
    </row>
    <row r="204" spans="1:32" x14ac:dyDescent="0.3">
      <c r="A204" s="127" t="s">
        <v>337</v>
      </c>
      <c r="B204" s="128">
        <v>45596</v>
      </c>
      <c r="C204" s="127" t="s">
        <v>26</v>
      </c>
      <c r="D204" s="127" t="s">
        <v>27</v>
      </c>
      <c r="E204" s="127" t="s">
        <v>28</v>
      </c>
      <c r="F204" s="127" t="s">
        <v>797</v>
      </c>
      <c r="G204" t="s">
        <v>217</v>
      </c>
      <c r="H204">
        <v>20406602681</v>
      </c>
      <c r="I204" t="s">
        <v>796</v>
      </c>
      <c r="J204" s="127" t="s">
        <v>381</v>
      </c>
      <c r="K204" s="123">
        <v>700000</v>
      </c>
      <c r="L204" s="123">
        <v>0</v>
      </c>
      <c r="M204" s="123">
        <v>0</v>
      </c>
      <c r="N204" s="123">
        <v>0</v>
      </c>
      <c r="O204" s="123">
        <v>0</v>
      </c>
      <c r="P204" s="123">
        <v>0</v>
      </c>
      <c r="Q204" s="123">
        <v>0</v>
      </c>
      <c r="R204" s="123">
        <v>0</v>
      </c>
      <c r="S204" s="123">
        <v>0</v>
      </c>
      <c r="T204" s="123">
        <v>0</v>
      </c>
      <c r="U204" s="123">
        <v>700000</v>
      </c>
      <c r="V204" s="123">
        <v>700000</v>
      </c>
      <c r="W204" s="123">
        <v>0</v>
      </c>
      <c r="X204" s="123" t="s">
        <v>324</v>
      </c>
      <c r="Y204" s="122">
        <v>45596</v>
      </c>
      <c r="Z204" s="123">
        <v>700000</v>
      </c>
      <c r="AF204" s="123">
        <v>0</v>
      </c>
    </row>
    <row r="205" spans="1:32" x14ac:dyDescent="0.3">
      <c r="A205" s="127" t="s">
        <v>337</v>
      </c>
      <c r="B205" s="128">
        <v>45596</v>
      </c>
      <c r="C205" s="127" t="s">
        <v>26</v>
      </c>
      <c r="D205" s="127" t="s">
        <v>403</v>
      </c>
      <c r="E205" s="127" t="s">
        <v>32</v>
      </c>
      <c r="F205" s="127" t="s">
        <v>777</v>
      </c>
      <c r="G205" t="s">
        <v>406</v>
      </c>
      <c r="H205">
        <v>30111111111</v>
      </c>
      <c r="I205" t="s">
        <v>629</v>
      </c>
      <c r="J205" s="127" t="s">
        <v>381</v>
      </c>
      <c r="K205" s="123">
        <v>16957</v>
      </c>
      <c r="L205" s="123">
        <v>0</v>
      </c>
      <c r="M205" s="123">
        <v>0</v>
      </c>
      <c r="N205" s="123">
        <v>0</v>
      </c>
      <c r="O205" s="123">
        <v>0</v>
      </c>
      <c r="P205" s="123">
        <v>0</v>
      </c>
      <c r="Q205" s="123">
        <v>0</v>
      </c>
      <c r="R205" s="123">
        <v>0</v>
      </c>
      <c r="S205" s="123">
        <v>0</v>
      </c>
      <c r="T205" s="123">
        <v>0</v>
      </c>
      <c r="U205" s="123">
        <v>16957</v>
      </c>
      <c r="V205" s="123">
        <v>16957</v>
      </c>
      <c r="W205" s="123">
        <v>0</v>
      </c>
      <c r="X205" s="123" t="s">
        <v>324</v>
      </c>
      <c r="Y205" s="122">
        <v>45596</v>
      </c>
      <c r="Z205" s="123">
        <v>0</v>
      </c>
      <c r="AF205" s="123">
        <v>16957</v>
      </c>
    </row>
    <row r="206" spans="1:32" x14ac:dyDescent="0.3">
      <c r="A206" s="127" t="s">
        <v>337</v>
      </c>
      <c r="B206" s="128">
        <v>45596</v>
      </c>
      <c r="C206" s="127" t="s">
        <v>434</v>
      </c>
      <c r="D206" s="127" t="s">
        <v>403</v>
      </c>
      <c r="E206" s="127" t="s">
        <v>28</v>
      </c>
      <c r="F206" s="127" t="s">
        <v>777</v>
      </c>
      <c r="G206" t="s">
        <v>406</v>
      </c>
      <c r="H206">
        <v>30111111111</v>
      </c>
      <c r="I206" t="s">
        <v>405</v>
      </c>
      <c r="J206" s="127" t="s">
        <v>381</v>
      </c>
      <c r="K206" s="123">
        <v>64400</v>
      </c>
      <c r="L206" s="123">
        <v>0</v>
      </c>
      <c r="M206" s="123">
        <v>0</v>
      </c>
      <c r="N206" s="123">
        <v>0</v>
      </c>
      <c r="O206" s="123">
        <v>0</v>
      </c>
      <c r="P206" s="123">
        <v>0</v>
      </c>
      <c r="Q206" s="123">
        <v>0</v>
      </c>
      <c r="R206" s="123">
        <v>0</v>
      </c>
      <c r="S206" s="123">
        <v>0</v>
      </c>
      <c r="T206" s="123">
        <v>0</v>
      </c>
      <c r="U206" s="123">
        <v>64400</v>
      </c>
      <c r="V206" s="123">
        <v>64400</v>
      </c>
      <c r="W206" s="123">
        <v>0</v>
      </c>
      <c r="X206" s="123" t="s">
        <v>324</v>
      </c>
      <c r="Y206" s="122">
        <v>45596</v>
      </c>
      <c r="Z206" s="123">
        <v>0</v>
      </c>
      <c r="AF206" s="123">
        <v>64400</v>
      </c>
    </row>
    <row r="207" spans="1:32" x14ac:dyDescent="0.3">
      <c r="A207" s="127" t="s">
        <v>337</v>
      </c>
      <c r="B207" s="128">
        <v>45596</v>
      </c>
      <c r="C207" s="127" t="s">
        <v>26</v>
      </c>
      <c r="D207" s="127" t="s">
        <v>58</v>
      </c>
      <c r="E207" s="127" t="s">
        <v>767</v>
      </c>
      <c r="F207" s="127" t="s">
        <v>739</v>
      </c>
      <c r="G207" t="s">
        <v>763</v>
      </c>
      <c r="H207">
        <v>30583516790</v>
      </c>
      <c r="I207" t="s">
        <v>96</v>
      </c>
      <c r="J207" s="127" t="s">
        <v>381</v>
      </c>
      <c r="K207" s="123">
        <v>47389.919999999998</v>
      </c>
      <c r="L207" s="123">
        <v>9951.8831999999984</v>
      </c>
      <c r="M207" s="123">
        <v>0</v>
      </c>
      <c r="N207" s="123">
        <v>0</v>
      </c>
      <c r="O207" s="123">
        <v>0</v>
      </c>
      <c r="P207" s="123">
        <v>0</v>
      </c>
      <c r="Q207" s="123">
        <v>0</v>
      </c>
      <c r="R207" s="123">
        <v>0</v>
      </c>
      <c r="S207" s="123">
        <v>0</v>
      </c>
      <c r="T207" s="123">
        <v>9951.8831999999984</v>
      </c>
      <c r="U207" s="123">
        <v>57341.803199999995</v>
      </c>
      <c r="V207" s="123">
        <v>57341.803199999995</v>
      </c>
      <c r="W207" s="123">
        <v>0</v>
      </c>
      <c r="X207" s="123" t="s">
        <v>324</v>
      </c>
      <c r="Y207" s="122">
        <v>45596</v>
      </c>
      <c r="Z207" s="123">
        <v>0</v>
      </c>
      <c r="AF207" s="123">
        <v>57341.803199999995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RESUMEN COMPRAS</vt:lpstr>
      <vt:lpstr>HOJA LLAVE</vt:lpstr>
      <vt:lpstr>Cta. Cte. Mafra SAS</vt:lpstr>
      <vt:lpstr>Periodo Octubre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Lenovo</cp:lastModifiedBy>
  <cp:lastPrinted>2024-12-09T16:36:54Z</cp:lastPrinted>
  <dcterms:created xsi:type="dcterms:W3CDTF">2024-09-29T22:24:13Z</dcterms:created>
  <dcterms:modified xsi:type="dcterms:W3CDTF">2024-12-10T16:00:41Z</dcterms:modified>
</cp:coreProperties>
</file>